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chetanathorat/Desktop/RA_O'Neil/"/>
    </mc:Choice>
  </mc:AlternateContent>
  <xr:revisionPtr revIDLastSave="0" documentId="8_{32449ED2-AE8C-F648-8519-5AD786DCFFBF}" xr6:coauthVersionLast="47" xr6:coauthVersionMax="47" xr10:uidLastSave="{00000000-0000-0000-0000-000000000000}"/>
  <bookViews>
    <workbookView xWindow="0" yWindow="740" windowWidth="29400" windowHeight="18380" xr2:uid="{00000000-000D-0000-FFFF-FFFF00000000}"/>
  </bookViews>
  <sheets>
    <sheet name="Researched Mining Sites"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t5C9cQoDsevhDUPa1nYs2XbpbN/hAxDlxPQJ0DjVxc4="/>
    </ext>
  </extLst>
</workbook>
</file>

<file path=xl/calcChain.xml><?xml version="1.0" encoding="utf-8"?>
<calcChain xmlns="http://schemas.openxmlformats.org/spreadsheetml/2006/main">
  <c r="AF111" i="1" l="1"/>
  <c r="AF107" i="1"/>
  <c r="AF102" i="1"/>
  <c r="AF94" i="1"/>
  <c r="AF44" i="1"/>
  <c r="AF42" i="1"/>
  <c r="AF36" i="1"/>
  <c r="AF22" i="1"/>
</calcChain>
</file>

<file path=xl/sharedStrings.xml><?xml version="1.0" encoding="utf-8"?>
<sst xmlns="http://schemas.openxmlformats.org/spreadsheetml/2006/main" count="2447" uniqueCount="895">
  <si>
    <t>Project Description</t>
  </si>
  <si>
    <t>Location</t>
  </si>
  <si>
    <t>Developer Description</t>
  </si>
  <si>
    <t>Development Plans</t>
  </si>
  <si>
    <t>Financial Support</t>
  </si>
  <si>
    <t>Land Ownership</t>
  </si>
  <si>
    <t>Litigation</t>
  </si>
  <si>
    <t>Primary Critical Material</t>
  </si>
  <si>
    <t>Project Name</t>
  </si>
  <si>
    <t>Mining Method</t>
  </si>
  <si>
    <t>Co-Producing Materials</t>
  </si>
  <si>
    <t>Existing Mine</t>
  </si>
  <si>
    <t>Status of Project</t>
  </si>
  <si>
    <t xml:space="preserve">Regulatory Challenges </t>
  </si>
  <si>
    <t>State</t>
  </si>
  <si>
    <t>County</t>
  </si>
  <si>
    <t>Latitude</t>
  </si>
  <si>
    <t>Longitude</t>
  </si>
  <si>
    <t>Nearest Population Center</t>
  </si>
  <si>
    <t>Population Size</t>
  </si>
  <si>
    <t>Additional Location Information</t>
  </si>
  <si>
    <t>Mining District</t>
  </si>
  <si>
    <t>Mineral Occurrence</t>
  </si>
  <si>
    <t>Lead Developer</t>
  </si>
  <si>
    <t>Location of Lead Developer HQ</t>
  </si>
  <si>
    <t>Lead Developer Website</t>
  </si>
  <si>
    <t>Parent Company</t>
  </si>
  <si>
    <t>Location of Parent Company HQ</t>
  </si>
  <si>
    <t>Was There Change in Ownership during Project?</t>
  </si>
  <si>
    <t>Planned Production Capacity (Thousands of Tons/Year)</t>
  </si>
  <si>
    <t>Planned Lifespan of Mine 
(Years)</t>
  </si>
  <si>
    <t>Processing Plan in US</t>
  </si>
  <si>
    <t>Processing Done by the Same Lead Developer/Parent Company</t>
  </si>
  <si>
    <t>Total Capital Costs
 (Millions of Dollars)</t>
  </si>
  <si>
    <t>Number of Federal Awards</t>
  </si>
  <si>
    <t>Federal Agency</t>
  </si>
  <si>
    <t>Year Granted</t>
  </si>
  <si>
    <t>Grant/Loan</t>
  </si>
  <si>
    <t>Amount 
(Millions of Dollars)</t>
  </si>
  <si>
    <t>Purpose of Support</t>
  </si>
  <si>
    <t>Public Supply Agreement w/ an Automaker or Battery/Component Producer</t>
  </si>
  <si>
    <t>Type of Land</t>
  </si>
  <si>
    <t>Public Land Ownership</t>
  </si>
  <si>
    <t>Year of Land Acquisition</t>
  </si>
  <si>
    <t>Federal</t>
  </si>
  <si>
    <t>Evidence of Litigation</t>
  </si>
  <si>
    <t>Number of Cases</t>
  </si>
  <si>
    <t>State and/or Federal</t>
  </si>
  <si>
    <t>Court Rulings Issued</t>
  </si>
  <si>
    <t>Level of Court</t>
  </si>
  <si>
    <t>Link to Judicial Decision</t>
  </si>
  <si>
    <t>Lithium</t>
  </si>
  <si>
    <t>Angel Island</t>
  </si>
  <si>
    <t>Surface</t>
  </si>
  <si>
    <t>No-- New Development</t>
  </si>
  <si>
    <t>Exploration</t>
  </si>
  <si>
    <t>Yes</t>
  </si>
  <si>
    <t>Nevada</t>
  </si>
  <si>
    <t>Esmeralda</t>
  </si>
  <si>
    <t>Silver Peak, NV</t>
  </si>
  <si>
    <t>Silver Peak</t>
  </si>
  <si>
    <t>Walker Lane Mineral Belt</t>
  </si>
  <si>
    <t>Century Lithium Corp</t>
  </si>
  <si>
    <t>CA</t>
  </si>
  <si>
    <t>https://centurylithium.com/</t>
  </si>
  <si>
    <t>N/A</t>
  </si>
  <si>
    <t>Public</t>
  </si>
  <si>
    <t>BLM</t>
  </si>
  <si>
    <t xml:space="preserve">Basin </t>
  </si>
  <si>
    <t>Undetermined</t>
  </si>
  <si>
    <t>No</t>
  </si>
  <si>
    <t>Arizona</t>
  </si>
  <si>
    <t>Yavapai</t>
  </si>
  <si>
    <t>Bagdad, AZ</t>
  </si>
  <si>
    <t>Eureka-Bagdad</t>
  </si>
  <si>
    <t>Bradda Head Lithium Ltd</t>
  </si>
  <si>
    <t>UK</t>
  </si>
  <si>
    <r>
      <rPr>
        <sz val="11"/>
        <color rgb="FF000000"/>
        <rFont val="Arial, sans-serif"/>
      </rPr>
      <t>https://www.braddaheadltd.com/projects/basin</t>
    </r>
  </si>
  <si>
    <t>BLM/State</t>
  </si>
  <si>
    <t>Big Sandy</t>
  </si>
  <si>
    <t>Delayed Indefinitely</t>
  </si>
  <si>
    <t>Mohave</t>
  </si>
  <si>
    <t>Wikieup, AZ</t>
  </si>
  <si>
    <t>Cleopatra</t>
  </si>
  <si>
    <t>Big Sandy Basin</t>
  </si>
  <si>
    <t>Arizona Lithium</t>
  </si>
  <si>
    <t>AU</t>
  </si>
  <si>
    <t>https://www.hawkstonemining.com/big-sandy-lithium/</t>
  </si>
  <si>
    <t>US</t>
  </si>
  <si>
    <t>30-40</t>
  </si>
  <si>
    <t>Federal &amp; State</t>
  </si>
  <si>
    <t>https://earthjustice.org/wp-content/uploads/2024/11/81-order-granting-pi.pdf</t>
  </si>
  <si>
    <t>Black Hills -- Longview Minerals</t>
  </si>
  <si>
    <t>Yes-- Abandoned</t>
  </si>
  <si>
    <t>South Dakota</t>
  </si>
  <si>
    <t>Custer</t>
  </si>
  <si>
    <t>Custer, SD</t>
  </si>
  <si>
    <t>Black Hills</t>
  </si>
  <si>
    <t>Longview Minerals</t>
  </si>
  <si>
    <r>
      <rPr>
        <u/>
        <sz val="11"/>
        <color rgb="FF1155CC"/>
        <rFont val="Aptos, sans-serif"/>
      </rPr>
      <t>https://irismetals.com/about-us/black-hills-south-dakota/</t>
    </r>
  </si>
  <si>
    <t>Iris Metals</t>
  </si>
  <si>
    <t>Public and Private</t>
  </si>
  <si>
    <t>Black Hills -- Midwest Lithium</t>
  </si>
  <si>
    <t>Midwest Lithium</t>
  </si>
  <si>
    <t>CH/AU</t>
  </si>
  <si>
    <t>https://midwestlithium.com/south-dakota/</t>
  </si>
  <si>
    <t>Armada Metals</t>
  </si>
  <si>
    <t xml:space="preserve">Black Hils -- Patriot Lithium </t>
  </si>
  <si>
    <t>South Dakota and Wyoming</t>
  </si>
  <si>
    <t>Lawrence (SD), Crook (WY) and Pennington (SD)</t>
  </si>
  <si>
    <t>Spearfish and Keystone, SD</t>
  </si>
  <si>
    <t>13,282 and 240</t>
  </si>
  <si>
    <t xml:space="preserve">Black Hills </t>
  </si>
  <si>
    <t>Patriot Lithium</t>
  </si>
  <si>
    <r>
      <rPr>
        <u/>
        <sz val="11"/>
        <color rgb="FF1155CC"/>
        <rFont val="Aptos, sans-serif"/>
      </rPr>
      <t>https://www.patriotresources.com.au/projects/black-hills-lithium-project/</t>
    </r>
  </si>
  <si>
    <t>USFS</t>
  </si>
  <si>
    <t>Black Hills -- United Lithium</t>
  </si>
  <si>
    <t>Pringle, SD</t>
  </si>
  <si>
    <t>United Lithium</t>
  </si>
  <si>
    <t>https://unitedlithium.com/united-lithium-corp-establishes-dominant-land-position-in-historical-lithium-pegmatite-production-area-near-custer-south-dakota/</t>
  </si>
  <si>
    <t>USFS/BLM</t>
  </si>
  <si>
    <t>Blue Clay</t>
  </si>
  <si>
    <t>Sienna Resources Inc</t>
  </si>
  <si>
    <r>
      <rPr>
        <u/>
        <sz val="11"/>
        <color rgb="FF1155CC"/>
        <rFont val="Calibri, sans-serif"/>
      </rPr>
      <t>https://www.siennaresourcesinc.com/2024/09/clayton-valley-lithium-update/</t>
    </r>
    <r>
      <rPr>
        <sz val="11"/>
        <color rgb="FF000000"/>
        <rFont val="Calibri, sans-serif"/>
      </rPr>
      <t>.</t>
    </r>
  </si>
  <si>
    <t>Bonnie Claire</t>
  </si>
  <si>
    <t>Boron</t>
  </si>
  <si>
    <t>Development</t>
  </si>
  <si>
    <t>Nye</t>
  </si>
  <si>
    <t>Beatty, NV</t>
  </si>
  <si>
    <t>Gold Mountain</t>
  </si>
  <si>
    <t>Sarcobatus Valley</t>
  </si>
  <si>
    <t>Nevada Lithium Resources Inc.</t>
  </si>
  <si>
    <t>https://nevadalithium.com/</t>
  </si>
  <si>
    <t>Borax Lake</t>
  </si>
  <si>
    <t>Oregon</t>
  </si>
  <si>
    <t>Harney</t>
  </si>
  <si>
    <t>Fields, OR</t>
  </si>
  <si>
    <t>Basin and Range Province</t>
  </si>
  <si>
    <t>Reedy Lagoon Corporation</t>
  </si>
  <si>
    <t>https://www.reedylagoon.com.au/</t>
  </si>
  <si>
    <t>Recovery from mine waste</t>
  </si>
  <si>
    <t>California</t>
  </si>
  <si>
    <t>Kern</t>
  </si>
  <si>
    <t>Boron, CA</t>
  </si>
  <si>
    <t>Kramer</t>
  </si>
  <si>
    <t>Rio Tinto</t>
  </si>
  <si>
    <t>https://www.riotinto.com</t>
  </si>
  <si>
    <t>Rio Tinto International Holdings Limited</t>
  </si>
  <si>
    <t>DOE</t>
  </si>
  <si>
    <t xml:space="preserve">Processing  </t>
  </si>
  <si>
    <t>Carolina Lithium</t>
  </si>
  <si>
    <t>North Carolina</t>
  </si>
  <si>
    <t>Gaston</t>
  </si>
  <si>
    <t>Cherryville, NC</t>
  </si>
  <si>
    <t>Carolina Tin-Spodumene Belt</t>
  </si>
  <si>
    <t>Piedmont Lithium</t>
  </si>
  <si>
    <t>https://piedmontlithium.com</t>
  </si>
  <si>
    <t>Sayona</t>
  </si>
  <si>
    <t>Grant</t>
  </si>
  <si>
    <t>Processing Plant in TN</t>
  </si>
  <si>
    <t>Private</t>
  </si>
  <si>
    <t>District</t>
  </si>
  <si>
    <t>Clayton Valley (ACME)</t>
  </si>
  <si>
    <t>ACME Lithium Inc.</t>
  </si>
  <si>
    <r>
      <rPr>
        <u/>
        <sz val="11"/>
        <color rgb="FF000000"/>
        <rFont val="Calibri, sans-serif"/>
      </rPr>
      <t>https://acmelithium.com/project-cc-ccp-sx/</t>
    </r>
  </si>
  <si>
    <t xml:space="preserve">Clayton Valley (PEM) </t>
  </si>
  <si>
    <t>Direct Lithium Extraction</t>
  </si>
  <si>
    <t>Pure Energy Minerals</t>
  </si>
  <si>
    <t>https://pureenergyminerals.com/projects1/clayton-valley-project/</t>
  </si>
  <si>
    <t>Columbus</t>
  </si>
  <si>
    <t>Evaporative</t>
  </si>
  <si>
    <t>Tonopah, Nevada</t>
  </si>
  <si>
    <t>Canter Resources Corporation</t>
  </si>
  <si>
    <r>
      <rPr>
        <u/>
        <sz val="11"/>
        <color rgb="FF1155CC"/>
        <rFont val="Calibri, sans-serif"/>
      </rPr>
      <t>https://canterresources.com/</t>
    </r>
    <r>
      <rPr>
        <sz val="11"/>
        <color rgb="FF000000"/>
        <rFont val="Calibri, sans-serif"/>
      </rPr>
      <t>.</t>
    </r>
  </si>
  <si>
    <t>Compass Minerals</t>
  </si>
  <si>
    <t>Utah</t>
  </si>
  <si>
    <t>Weber</t>
  </si>
  <si>
    <t>Ogden, UT</t>
  </si>
  <si>
    <t>Great Salt Lake</t>
  </si>
  <si>
    <t>https://www.compassminerals.com/who-we-are/</t>
  </si>
  <si>
    <t>Fish Lake Valley</t>
  </si>
  <si>
    <t xml:space="preserve">Boron, potassium </t>
  </si>
  <si>
    <t>Dyer, NV</t>
  </si>
  <si>
    <t>Lithium Corporation</t>
  </si>
  <si>
    <r>
      <rPr>
        <u/>
        <sz val="11"/>
        <color rgb="FF1155CC"/>
        <rFont val="Calibri, sans-serif"/>
      </rPr>
      <t>https://lithiumcorporation.com/wp-content/uploads/2024/07/Lithium-Corporation-Presentation-July-2024.pdf</t>
    </r>
    <r>
      <rPr>
        <sz val="11"/>
        <color rgb="FF000000"/>
        <rFont val="Calibri, sans-serif"/>
      </rPr>
      <t xml:space="preserve">; </t>
    </r>
    <r>
      <rPr>
        <u/>
        <sz val="11"/>
        <color rgb="FF1155CC"/>
        <rFont val="Calibri, sans-serif"/>
      </rPr>
      <t>https://wcsecure.weblink.com.au/pdf/1MC/02892212.pdf</t>
    </r>
    <r>
      <rPr>
        <sz val="11"/>
        <color rgb="FF000000"/>
        <rFont val="Calibri, sans-serif"/>
      </rPr>
      <t>.</t>
    </r>
  </si>
  <si>
    <t>Fort Cady</t>
  </si>
  <si>
    <t>San Bernardino</t>
  </si>
  <si>
    <t>Barstow, CA</t>
  </si>
  <si>
    <t>Hector Basin</t>
  </si>
  <si>
    <t>5E Advanced Materials</t>
  </si>
  <si>
    <t>https://5eadvancedmaterials.com/</t>
  </si>
  <si>
    <t>DOE &amp; Import/Export</t>
  </si>
  <si>
    <t>Loan</t>
  </si>
  <si>
    <t>Processing</t>
  </si>
  <si>
    <t>Green River -- American Potash</t>
  </si>
  <si>
    <t>Potash, bromine, boron.</t>
  </si>
  <si>
    <t>Grand County</t>
  </si>
  <si>
    <t>Moab, UT</t>
  </si>
  <si>
    <t xml:space="preserve">American Critical Minrerals </t>
  </si>
  <si>
    <r>
      <rPr>
        <u/>
        <sz val="11"/>
        <color rgb="FF1155CC"/>
        <rFont val="Calibri, sans-serif"/>
      </rPr>
      <t>https://acmineralscorp.com/</t>
    </r>
    <r>
      <rPr>
        <sz val="11"/>
        <color rgb="FF242424"/>
        <rFont val="Calibri, sans-serif"/>
      </rPr>
      <t>.</t>
    </r>
  </si>
  <si>
    <t>Green River -- Blackstone</t>
  </si>
  <si>
    <t>Emery</t>
  </si>
  <si>
    <t>Green River, Utah</t>
  </si>
  <si>
    <t xml:space="preserve">Black Stone Minerals </t>
  </si>
  <si>
    <t>https://www.ansonresources.com/green-river-lithium-project/</t>
  </si>
  <si>
    <t>Anson Resources</t>
  </si>
  <si>
    <t>Kings Mountain</t>
  </si>
  <si>
    <t>Cleveland and Gaston</t>
  </si>
  <si>
    <t>Kings Mountain, NC</t>
  </si>
  <si>
    <t>Albemarle</t>
  </si>
  <si>
    <t>https://www.albemarle.com</t>
  </si>
  <si>
    <t>DOD &amp; DOE</t>
  </si>
  <si>
    <t>2022/2023</t>
  </si>
  <si>
    <t>Reopening Mine, development</t>
  </si>
  <si>
    <t>Let's Go Lithium</t>
  </si>
  <si>
    <t>Pahrump, NV</t>
  </si>
  <si>
    <t>Pahrump</t>
  </si>
  <si>
    <t>Beatty-Searchlight Mineral Belt</t>
  </si>
  <si>
    <t>Rover Critical Minerals</t>
  </si>
  <si>
    <t>https://www.rovercriticalminerals.com/nevada-lithium</t>
  </si>
  <si>
    <t xml:space="preserve">Lilac </t>
  </si>
  <si>
    <t>Box Elder</t>
  </si>
  <si>
    <t>Brigham City, UT</t>
  </si>
  <si>
    <t>Waterleaf Resources</t>
  </si>
  <si>
    <t>https://lilacsolutions.com/</t>
  </si>
  <si>
    <t>Lilac Solutions Inc</t>
  </si>
  <si>
    <t>DLE Plant</t>
  </si>
  <si>
    <t xml:space="preserve">Lithium King </t>
  </si>
  <si>
    <t>Magnesium</t>
  </si>
  <si>
    <t>Toole</t>
  </si>
  <si>
    <t>Wendover, UT</t>
  </si>
  <si>
    <t>Wendover</t>
  </si>
  <si>
    <t>Uinta Belt</t>
  </si>
  <si>
    <t>Global Battery Minerals</t>
  </si>
  <si>
    <t>https://gbml.ca/projects/lithium-king/</t>
  </si>
  <si>
    <t>McDermitt</t>
  </si>
  <si>
    <t>Malheur</t>
  </si>
  <si>
    <t>McDermitt, NV</t>
  </si>
  <si>
    <t>Jindalee Resources</t>
  </si>
  <si>
    <t>https://www.jindaleelithium.com/</t>
  </si>
  <si>
    <t>McGee</t>
  </si>
  <si>
    <t xml:space="preserve">Spearmint Resources Inc. </t>
  </si>
  <si>
    <r>
      <rPr>
        <u/>
        <sz val="11"/>
        <color rgb="FF1155CC"/>
        <rFont val="Calibri, sans-serif"/>
      </rPr>
      <t>https://www.spearmintresources.ca/</t>
    </r>
    <r>
      <rPr>
        <sz val="11"/>
        <color rgb="FF000000"/>
        <rFont val="Calibri, sans-serif"/>
      </rPr>
      <t>.</t>
    </r>
  </si>
  <si>
    <t>North Big Smoky</t>
  </si>
  <si>
    <r>
      <rPr>
        <u/>
        <sz val="11"/>
        <color rgb="FF1155CC"/>
        <rFont val="Calibri, sans-serif"/>
      </rPr>
      <t>https://lithiumcorporation.com/wp-content/uploads/2024/07/Lithium-Corporation-Presentation-July-2024.pdf</t>
    </r>
  </si>
  <si>
    <t>Panamint Playa</t>
  </si>
  <si>
    <t>Inyo</t>
  </si>
  <si>
    <t>IG Lithium LLC</t>
  </si>
  <si>
    <t>https://igglobalgroup.com/</t>
  </si>
  <si>
    <t>IG Global Group</t>
  </si>
  <si>
    <t>Paradox Lithium</t>
  </si>
  <si>
    <t>Bromine</t>
  </si>
  <si>
    <t>Green River, UT</t>
  </si>
  <si>
    <t>Paradox Basin</t>
  </si>
  <si>
    <t>https://www.ansonresources.com/</t>
  </si>
  <si>
    <t xml:space="preserve">Rhyolite Ridge </t>
  </si>
  <si>
    <t>Ioneer</t>
  </si>
  <si>
    <t>https://rhyolite-ridge.ioneer</t>
  </si>
  <si>
    <t>https://www.biologicaldiversity.org/species/plants/pdfs/Tiehms-buckwheat-federal-ruling-04-21-2021.pdf</t>
  </si>
  <si>
    <t xml:space="preserve">Roundtop </t>
  </si>
  <si>
    <t>Rare Earth Elements</t>
  </si>
  <si>
    <t>Texas</t>
  </si>
  <si>
    <t>Hudspeth</t>
  </si>
  <si>
    <t>Sierra Blanca, TX</t>
  </si>
  <si>
    <t>Trans Pecos</t>
  </si>
  <si>
    <t>Texas Mineral Resources</t>
  </si>
  <si>
    <t>https://tmrcorp.com/projects/rare_earths/; https://www.usare.com/about</t>
  </si>
  <si>
    <t>USA Rare Earth</t>
  </si>
  <si>
    <t>Salton Sea (ATLiS)</t>
  </si>
  <si>
    <t>Zinc, Manganese</t>
  </si>
  <si>
    <t>Imperial</t>
  </si>
  <si>
    <t>Calipatria, CA</t>
  </si>
  <si>
    <t>Salton Sea</t>
  </si>
  <si>
    <t>Energy Source Minerals LLC</t>
  </si>
  <si>
    <t>https://www.esminerals.com</t>
  </si>
  <si>
    <t>Construction</t>
  </si>
  <si>
    <t>Salton Sea (BHE)</t>
  </si>
  <si>
    <t>BHE Renewable</t>
  </si>
  <si>
    <t>https://www.bherenewables.com</t>
  </si>
  <si>
    <t>Berkshire Hathaway</t>
  </si>
  <si>
    <t>Demo Plant</t>
  </si>
  <si>
    <t>Salton Sea (CTR)</t>
  </si>
  <si>
    <t>Nilan, CA</t>
  </si>
  <si>
    <t>Controlled Thermal Resources</t>
  </si>
  <si>
    <t>https://www.cthermal.com/</t>
  </si>
  <si>
    <t>Geothermal Plant</t>
  </si>
  <si>
    <t>https://www.courthousenews.com/wp-content/uploads/2025/01/comite-civico-del-valle-v-county-of-imperial-tentative-decision.pdf</t>
  </si>
  <si>
    <t>Yes-- Active</t>
  </si>
  <si>
    <t>Active -- Expansion Plan</t>
  </si>
  <si>
    <t>30-50</t>
  </si>
  <si>
    <t>Smackover-LANXESS</t>
  </si>
  <si>
    <t>Arkansas</t>
  </si>
  <si>
    <t>Union</t>
  </si>
  <si>
    <t>El Dorado, AR</t>
  </si>
  <si>
    <t>Smackover</t>
  </si>
  <si>
    <t>Standard Lithium</t>
  </si>
  <si>
    <t>https://www.standardlithium.com/projects/arkansas-smackover</t>
  </si>
  <si>
    <t>Equinor</t>
  </si>
  <si>
    <t>Construction of DLE Facility in Arkansas</t>
  </si>
  <si>
    <t>Smackover-XOM/Galvanic</t>
  </si>
  <si>
    <t>Lafayette, Columbia</t>
  </si>
  <si>
    <t>Galvanic Energy LLC</t>
  </si>
  <si>
    <t>https://galvanicenergy.com</t>
  </si>
  <si>
    <t>ExxonMobil</t>
  </si>
  <si>
    <t>Thacker Pass</t>
  </si>
  <si>
    <t>Humboldt</t>
  </si>
  <si>
    <t>Orovada, NV</t>
  </si>
  <si>
    <t>Opalite</t>
  </si>
  <si>
    <t>Lynn-Railroad Belt</t>
  </si>
  <si>
    <t>Lithium Americas</t>
  </si>
  <si>
    <t>https://www.lithiumamericas.com</t>
  </si>
  <si>
    <t>Lithium Americas Ltd</t>
  </si>
  <si>
    <t>2023/2024</t>
  </si>
  <si>
    <t>Loan/Grant</t>
  </si>
  <si>
    <t>District &amp; Circuit</t>
  </si>
  <si>
    <r>
      <rPr>
        <u/>
        <sz val="11"/>
        <color rgb="FF1155CC"/>
        <rFont val="Calibri, sans-serif"/>
      </rPr>
      <t>https://www.westernwatersheds.org/wp-content/uploads/2023/02/Thacker-Pass-Court-Opinion-2-6-23.pdf</t>
    </r>
    <r>
      <rPr>
        <sz val="11"/>
        <color rgb="FF242424"/>
        <rFont val="Calibri, sans-serif"/>
      </rPr>
      <t>.</t>
    </r>
  </si>
  <si>
    <t xml:space="preserve">TLC </t>
  </si>
  <si>
    <t>Tonopah, NV</t>
  </si>
  <si>
    <t>Tonopah</t>
  </si>
  <si>
    <t>American Lithium Corporation</t>
  </si>
  <si>
    <t>https://americanlithiumcorp.com/tlc-lithium-project/</t>
  </si>
  <si>
    <t>Tonopah Flats</t>
  </si>
  <si>
    <t>American Battery Technology</t>
  </si>
  <si>
    <t>https://americanbatterytechnology.com/projects/tonopah-flats/</t>
  </si>
  <si>
    <t>2021/2022</t>
  </si>
  <si>
    <t>Demonstation/Facility/Recycling</t>
  </si>
  <si>
    <t>Utah Lithium</t>
  </si>
  <si>
    <t>Boron, Bromine, Potash</t>
  </si>
  <si>
    <t>Grand</t>
  </si>
  <si>
    <t>Mandrake Resources</t>
  </si>
  <si>
    <r>
      <rPr>
        <u/>
        <sz val="12"/>
        <color rgb="FF1155CC"/>
        <rFont val="Roboto, sans-serif"/>
      </rPr>
      <t>https://www.mandrakeresources.com.au/project/utah-lithium-project/</t>
    </r>
  </si>
  <si>
    <t>Whitehorse Ranch</t>
  </si>
  <si>
    <t>ACME Lithium US</t>
  </si>
  <si>
    <t>https://acmelithium.com/</t>
  </si>
  <si>
    <t>Willcox Playa</t>
  </si>
  <si>
    <t>Cochise</t>
  </si>
  <si>
    <t>Wilcox, AZ</t>
  </si>
  <si>
    <t>Max Power</t>
  </si>
  <si>
    <t>Zeus</t>
  </si>
  <si>
    <t>Noram Lithium Corporation</t>
  </si>
  <si>
    <t>https://noramlithiumcorp.com/resource/clayton-valley/</t>
  </si>
  <si>
    <t>Copper</t>
  </si>
  <si>
    <t>American Pacific Palmer</t>
  </si>
  <si>
    <t>Underground</t>
  </si>
  <si>
    <t>Zinc, Gold, Silver, Barite</t>
  </si>
  <si>
    <t>Alaska</t>
  </si>
  <si>
    <t>Haines, AK</t>
  </si>
  <si>
    <t>Constantine Mining LLC</t>
  </si>
  <si>
    <t>https://www.visithaines.com/listing/constantine-mining-llc/2109/</t>
  </si>
  <si>
    <t>American Pacific Mining Corporation</t>
  </si>
  <si>
    <t>District &amp; Appeals</t>
  </si>
  <si>
    <t>https://earthjustice.org/wp-content/uploads/2023/08/decision.pdf</t>
  </si>
  <si>
    <t>Arctic</t>
  </si>
  <si>
    <t>Lead, Zinc, Gold, Silver</t>
  </si>
  <si>
    <t>Kobuk, AK</t>
  </si>
  <si>
    <t>Ambler</t>
  </si>
  <si>
    <t>Ambler Metals, LLC</t>
  </si>
  <si>
    <t>https://www.amblermetals.com/</t>
  </si>
  <si>
    <t xml:space="preserve">South32 Limited and Trilogy Metals Inc. </t>
  </si>
  <si>
    <t>AU; CA</t>
  </si>
  <si>
    <t>Bagdad</t>
  </si>
  <si>
    <t>Molybdenum</t>
  </si>
  <si>
    <t>Arizona Porphyry Copper Belt</t>
  </si>
  <si>
    <t>Freeport-McMoRan</t>
  </si>
  <si>
    <t>https://www.fcx.com</t>
  </si>
  <si>
    <t>Bingham Canyon (Kennecott)</t>
  </si>
  <si>
    <t>Surface and Underground</t>
  </si>
  <si>
    <t>Molybdenum, Silver, Gold</t>
  </si>
  <si>
    <t>Salt Lake</t>
  </si>
  <si>
    <t>Herriman, UT</t>
  </si>
  <si>
    <t>Bingham</t>
  </si>
  <si>
    <t>https://www.riotinto.com/en/Operations/us/kennecott</t>
  </si>
  <si>
    <t>Black Butte</t>
  </si>
  <si>
    <t>Montana</t>
  </si>
  <si>
    <t>Meagher</t>
  </si>
  <si>
    <t>White Sulphur Springs</t>
  </si>
  <si>
    <t>Johnny Lee Deposit</t>
  </si>
  <si>
    <t>Trintina Montana</t>
  </si>
  <si>
    <r>
      <rPr>
        <u/>
        <sz val="11"/>
        <color rgb="FF000000"/>
        <rFont val="Arial, sans-serif"/>
      </rPr>
      <t>https://blackbuttecopper.com/</t>
    </r>
  </si>
  <si>
    <t>Sandfire Resources</t>
  </si>
  <si>
    <t>8.5-13</t>
  </si>
  <si>
    <t>Supreme</t>
  </si>
  <si>
    <r>
      <rPr>
        <u/>
        <sz val="11"/>
        <color rgb="FF1155CC"/>
        <rFont val="Calibri, sans-serif"/>
      </rPr>
      <t>https://law.justia.com/cases/montana/supreme-court/2024/da-22-0406.html</t>
    </r>
    <r>
      <rPr>
        <sz val="11"/>
        <color rgb="FF242424"/>
        <rFont val="Calibri, sans-serif"/>
      </rPr>
      <t>.</t>
    </r>
  </si>
  <si>
    <t>Cactus Copper</t>
  </si>
  <si>
    <t>Silver, Gold</t>
  </si>
  <si>
    <t>Pinal</t>
  </si>
  <si>
    <t>Casa Grande, AZ</t>
  </si>
  <si>
    <t>Preuss</t>
  </si>
  <si>
    <t>Arizona Sonoran</t>
  </si>
  <si>
    <r>
      <rPr>
        <u/>
        <sz val="12"/>
        <color rgb="FF000000"/>
        <rFont val="&quot;Times New Roman&quot;, serif"/>
      </rPr>
      <t>https://arizonasonoran.com/</t>
    </r>
  </si>
  <si>
    <t>CK Gold/Copper</t>
  </si>
  <si>
    <t>Gold</t>
  </si>
  <si>
    <t>Wyoming</t>
  </si>
  <si>
    <t>Laramie</t>
  </si>
  <si>
    <t>Cheyenne, WY</t>
  </si>
  <si>
    <t xml:space="preserve">Silver Crown </t>
  </si>
  <si>
    <t>US Gold Corporation</t>
  </si>
  <si>
    <t>https://www.usgoldcorp.gold/</t>
  </si>
  <si>
    <t>Copper Creek</t>
  </si>
  <si>
    <t>Mammoth, AZ</t>
  </si>
  <si>
    <t>Faraday Copper</t>
  </si>
  <si>
    <t>https://faradaycopper.com/</t>
  </si>
  <si>
    <t>Copper World Complex (Rosemont)</t>
  </si>
  <si>
    <t>Pima</t>
  </si>
  <si>
    <t>Sonoita, AZ</t>
  </si>
  <si>
    <t>Helvetia-Rosemont</t>
  </si>
  <si>
    <t>Copper Porphyry Belt</t>
  </si>
  <si>
    <t>Hudbay Minerals</t>
  </si>
  <si>
    <t>https://www.hudbayminerals.com</t>
  </si>
  <si>
    <t>Augusta Resource Corporation of Canada</t>
  </si>
  <si>
    <t>USFS/State</t>
  </si>
  <si>
    <r>
      <rPr>
        <u/>
        <sz val="11"/>
        <color rgb="FF1155CC"/>
        <rFont val="Calibri, sans-serif"/>
      </rPr>
      <t>https://cdn.ca9.uscourts.gov/datastore/opinions/2022/05/12/19-17585.pdf</t>
    </r>
    <r>
      <rPr>
        <sz val="11"/>
        <color rgb="FF242424"/>
        <rFont val="Calibri, sans-serif"/>
      </rPr>
      <t>.</t>
    </r>
  </si>
  <si>
    <t>Copperwood</t>
  </si>
  <si>
    <t>Silver</t>
  </si>
  <si>
    <t>Michigan</t>
  </si>
  <si>
    <t>Gogebic</t>
  </si>
  <si>
    <t>Wakefield, MI</t>
  </si>
  <si>
    <t>Keweenaw Copper Belt</t>
  </si>
  <si>
    <t>Copperwood Resources Inc</t>
  </si>
  <si>
    <t>https://www.highlandcopper.com/projects/copperwood-project/</t>
  </si>
  <si>
    <t>Highland Copper Inc</t>
  </si>
  <si>
    <t>Flux</t>
  </si>
  <si>
    <t>Silver, Lead, Zinc</t>
  </si>
  <si>
    <t>Santa Cruz</t>
  </si>
  <si>
    <t>Patagonia, AZ</t>
  </si>
  <si>
    <t>Harshaw</t>
  </si>
  <si>
    <t>Arizona Minerals, Inc</t>
  </si>
  <si>
    <t>https://www.south32.net/what-we-do/our-locations/americas/hermosa/permitting-public-consultation</t>
  </si>
  <si>
    <t>South32 Limited</t>
  </si>
  <si>
    <t>https://cases.justia.com/federal/district-courts/arizona/azdce/4:2023cv00280/1337890/48/0.pdf?ts=1694024903</t>
  </si>
  <si>
    <t>CuMo Project (Idaho Copper Project)</t>
  </si>
  <si>
    <t>Idaho</t>
  </si>
  <si>
    <t>Boise</t>
  </si>
  <si>
    <t>Grimes Pass, ID</t>
  </si>
  <si>
    <t>Grimes Pass</t>
  </si>
  <si>
    <t xml:space="preserve">Idaho Copper (IC) Corporation </t>
  </si>
  <si>
    <t>https://www.idaho-copper.com/idaho-copper-project/</t>
  </si>
  <si>
    <r>
      <rPr>
        <u/>
        <sz val="11"/>
        <color rgb="FF1155CC"/>
        <rFont val="Calibri, sans-serif"/>
      </rPr>
      <t>https://casetext.com/case/idaho-conservation-league-v-us-forest-serv-1</t>
    </r>
    <r>
      <rPr>
        <sz val="11"/>
        <color rgb="FF242424"/>
        <rFont val="Calibri, sans-serif"/>
      </rPr>
      <t>.</t>
    </r>
  </si>
  <si>
    <t>Libby</t>
  </si>
  <si>
    <t>Lincoln</t>
  </si>
  <si>
    <t>Libby, MN</t>
  </si>
  <si>
    <t>Montanore Minerals Corporation</t>
  </si>
  <si>
    <r>
      <rPr>
        <u/>
        <sz val="11"/>
        <color rgb="FF000000"/>
        <rFont val="Calibri, sans-serif"/>
      </rPr>
      <t>https://www.hecla.com/exploration</t>
    </r>
  </si>
  <si>
    <t>Hecla</t>
  </si>
  <si>
    <t>District &amp; Supreme</t>
  </si>
  <si>
    <r>
      <rPr>
        <u/>
        <sz val="11"/>
        <color rgb="FF1155CC"/>
        <rFont val="Calibri, sans-serif"/>
      </rPr>
      <t>https://earthjustice.org/wp-content/uploads/opinion_-_published_0.pdf</t>
    </r>
    <r>
      <rPr>
        <sz val="11"/>
        <color rgb="FF242424"/>
        <rFont val="Calibri, sans-serif"/>
      </rPr>
      <t>.</t>
    </r>
  </si>
  <si>
    <t>Lisbon Valley</t>
  </si>
  <si>
    <t>San Juan</t>
  </si>
  <si>
    <t>La Sal, UT</t>
  </si>
  <si>
    <t>Lisbon Valley Copper Corporation</t>
  </si>
  <si>
    <t>https://lisbonmine.com/</t>
  </si>
  <si>
    <t>20+</t>
  </si>
  <si>
    <t>DOA</t>
  </si>
  <si>
    <t>Production and Renewable Energy</t>
  </si>
  <si>
    <t xml:space="preserve">Madison Copper-Gold </t>
  </si>
  <si>
    <t>Madison</t>
  </si>
  <si>
    <t>Silver Star, MN</t>
  </si>
  <si>
    <t>Silver Star</t>
  </si>
  <si>
    <r>
      <rPr>
        <u/>
        <sz val="11"/>
        <color rgb="FF1155CC"/>
        <rFont val="Arial, sans-serif"/>
      </rPr>
      <t>https://americanpacificmining.com/projects/madison-mine/#close</t>
    </r>
    <r>
      <rPr>
        <sz val="11"/>
        <color rgb="FF000000"/>
        <rFont val="Arial, sans-serif"/>
      </rPr>
      <t>.</t>
    </r>
  </si>
  <si>
    <t>Mason Copper</t>
  </si>
  <si>
    <t>Lyon</t>
  </si>
  <si>
    <t>Yerington, NV</t>
  </si>
  <si>
    <t>Mason Valley - Yerington</t>
  </si>
  <si>
    <t>Miami Copper Operations</t>
  </si>
  <si>
    <t>Active</t>
  </si>
  <si>
    <t>Gila</t>
  </si>
  <si>
    <t>Miami, AZ</t>
  </si>
  <si>
    <t>Globe-Miami</t>
  </si>
  <si>
    <t>Freeport McMoRan</t>
  </si>
  <si>
    <t>https://www.fcx.com/</t>
  </si>
  <si>
    <t>Mission Complex</t>
  </si>
  <si>
    <t>Sahuarita, AZ</t>
  </si>
  <si>
    <t>ASARCO</t>
  </si>
  <si>
    <t>https://www.asarco.com/mines/</t>
  </si>
  <si>
    <t>Grupo Mexico</t>
  </si>
  <si>
    <t>MX</t>
  </si>
  <si>
    <t xml:space="preserve">Moonlight-Superior Copper </t>
  </si>
  <si>
    <t xml:space="preserve">Silver, Gold </t>
  </si>
  <si>
    <t>Plumas</t>
  </si>
  <si>
    <t>Greenville, CA</t>
  </si>
  <si>
    <t xml:space="preserve">Lights Creek </t>
  </si>
  <si>
    <t xml:space="preserve">US Copper Corporation </t>
  </si>
  <si>
    <t>https://uscoppercorp.com/</t>
  </si>
  <si>
    <t>Morenci</t>
  </si>
  <si>
    <t>Greenlee</t>
  </si>
  <si>
    <t>Safford, AZ</t>
  </si>
  <si>
    <t>Copper Mountain</t>
  </si>
  <si>
    <t>https://www.fcx.com/operations/north-america</t>
  </si>
  <si>
    <t>Geothermal</t>
  </si>
  <si>
    <t>Palmer Copper-Zinc</t>
  </si>
  <si>
    <t>Zinc, Silver, Lead, Gold</t>
  </si>
  <si>
    <t xml:space="preserve">Alaska </t>
  </si>
  <si>
    <r>
      <rPr>
        <u/>
        <sz val="11"/>
        <color rgb="FF1155CC"/>
        <rFont val="Arial, sans-serif"/>
      </rPr>
      <t>https://americanpacificmining.com/news-releases-2024/american-pacific-provides-update-on-drill-programs-at-its-madison-and-palmer-projects/</t>
    </r>
  </si>
  <si>
    <t>Pebble</t>
  </si>
  <si>
    <t xml:space="preserve">Gold, Molybdenum </t>
  </si>
  <si>
    <t>Iliamna, AK</t>
  </si>
  <si>
    <t>Pebble Limited Partnership</t>
  </si>
  <si>
    <r>
      <rPr>
        <u/>
        <sz val="11"/>
        <color rgb="FF1155CC"/>
        <rFont val="Calibri, sans-serif"/>
      </rPr>
      <t>https://northerndynastyminerals.com/pebble-project/project-overview/</t>
    </r>
  </si>
  <si>
    <t>Northern Dynasty Minerals</t>
  </si>
  <si>
    <t>Pickett Mountain</t>
  </si>
  <si>
    <t>Silver, Gold, Lead</t>
  </si>
  <si>
    <t>Maine</t>
  </si>
  <si>
    <t>Penobscot</t>
  </si>
  <si>
    <t>Patten, MN</t>
  </si>
  <si>
    <t>Northern Maine Volcanic Belt</t>
  </si>
  <si>
    <t>Wolfden Resources Corp</t>
  </si>
  <si>
    <t>https://www.wolfdenresources.com</t>
  </si>
  <si>
    <t>Pinto Valley</t>
  </si>
  <si>
    <t>Capstone Copper</t>
  </si>
  <si>
    <t>https://capstonecopper.com/about-us/leadership/</t>
  </si>
  <si>
    <t>Pope-Shenon</t>
  </si>
  <si>
    <t>Lemhi</t>
  </si>
  <si>
    <t>Salmon, ID</t>
  </si>
  <si>
    <t>Eureka</t>
  </si>
  <si>
    <t>Neuma International Inc</t>
  </si>
  <si>
    <t>Unavailable</t>
  </si>
  <si>
    <t>Ray</t>
  </si>
  <si>
    <t>Kearney, AZ</t>
  </si>
  <si>
    <t>Mineral Creek</t>
  </si>
  <si>
    <r>
      <rPr>
        <sz val="11"/>
        <color rgb="FF000000"/>
        <rFont val="Calibri"/>
        <family val="2"/>
      </rPr>
      <t xml:space="preserve"> </t>
    </r>
    <r>
      <rPr>
        <u/>
        <sz val="11"/>
        <color rgb="FF000000"/>
        <rFont val="Calibri"/>
        <family val="2"/>
      </rPr>
      <t>https://www.asarco.com/mines/.</t>
    </r>
  </si>
  <si>
    <t>Appeals</t>
  </si>
  <si>
    <t>https://eplanning.blm.gov/eplanning-ui/project/82268/510</t>
  </si>
  <si>
    <t>Resolution Copper</t>
  </si>
  <si>
    <t>Superior, AZ</t>
  </si>
  <si>
    <t>Pioneer</t>
  </si>
  <si>
    <t>https://nam12.safelinks.protection.outlook.com/?url=https%3A%2F%2Fcdn.ca9.uscourts.gov%2Fdatastore%2Fopinions%2F2024%2F03%2F01%2F21-15295.pdf&amp;data=05%7C02%7Cshahalin%40iu.edu%7Cec57a44f6f2a4882cbe508dd26243a59%7C1113be34aed14d00ab4bcdd02510be91%7C0%7C0%7C638708659214284295%7CUnknown%7CTWFpbGZsb3d8eyJFbXB0eU1hcGkiOnRydWUsIlYiOiIwLjAuMDAwMCIsIlAiOiJXaW4zMiIsIkFOIjoiTWFpbCIsIldUIjoyfQ%3D%3D%7C0%7C%7C%7C&amp;sdata=RFpkN%2BSrT%2FAxCMcxBTpFLPMllLBAeuvHpamrbpyNWjE%3D&amp;reserved=0</t>
  </si>
  <si>
    <t>Rock Creek</t>
  </si>
  <si>
    <t>Sanders</t>
  </si>
  <si>
    <t>Noxon, MT</t>
  </si>
  <si>
    <t>Hecla Mining Company</t>
  </si>
  <si>
    <r>
      <rPr>
        <u/>
        <sz val="11"/>
        <color rgb="FF000000"/>
        <rFont val="Calibri, sans-serif"/>
      </rPr>
      <t>https://www.hecla.com/exploration</t>
    </r>
    <r>
      <rPr>
        <sz val="11"/>
        <color rgb="FF000000"/>
        <rFont val="Calibri, sans-serif"/>
      </rPr>
      <t>.</t>
    </r>
  </si>
  <si>
    <t>&lt;20</t>
  </si>
  <si>
    <r>
      <rPr>
        <u/>
        <sz val="11"/>
        <color rgb="FF1155CC"/>
        <rFont val="Calibri, sans-serif"/>
      </rPr>
      <t>https://law.justia.com/cases/montana/supreme-court/2021/da-19-0484.html</t>
    </r>
    <r>
      <rPr>
        <sz val="11"/>
        <color rgb="FF242424"/>
        <rFont val="Calibri, sans-serif"/>
      </rPr>
      <t>.</t>
    </r>
  </si>
  <si>
    <t>Safford</t>
  </si>
  <si>
    <t>Graham</t>
  </si>
  <si>
    <t>Sierrita</t>
  </si>
  <si>
    <t>Active -- No Expansion Plan</t>
  </si>
  <si>
    <t>Green Valley, AZ</t>
  </si>
  <si>
    <t xml:space="preserve">Silver Bell </t>
  </si>
  <si>
    <t>Molybdenum, Silver</t>
  </si>
  <si>
    <t>Mirana, AZ</t>
  </si>
  <si>
    <t>Silver Bell</t>
  </si>
  <si>
    <r>
      <rPr>
        <u/>
        <sz val="11"/>
        <color rgb="FF000000"/>
        <rFont val="Calibri, sans-serif"/>
      </rPr>
      <t>https://www.asarco.com/mines/</t>
    </r>
  </si>
  <si>
    <t>Sunnyside Copper</t>
  </si>
  <si>
    <t>Barksdale Resource</t>
  </si>
  <si>
    <t>https://barksdaleresources.com/projects/arizona-project/99-sunnyside.html#treport</t>
  </si>
  <si>
    <r>
      <rPr>
        <u/>
        <sz val="11"/>
        <color rgb="FF1155CC"/>
        <rFont val="Arial"/>
        <family val="2"/>
      </rPr>
      <t>https://www.patagoniaalliance.org/wp-content/uploads/2015/09/Sunnyside-Judgment-91515.pdf</t>
    </r>
    <r>
      <rPr>
        <sz val="11"/>
        <color rgb="FF242424"/>
        <rFont val="Calibri, sans-serif"/>
      </rPr>
      <t xml:space="preserve">; </t>
    </r>
    <r>
      <rPr>
        <u/>
        <sz val="11"/>
        <color rgb="FF1155CC"/>
        <rFont val="Calibri, sans-serif"/>
      </rPr>
      <t>https://cdn.ca9.uscourts.gov/datastore/memoranda/2024/05/15/23-16167.pdf</t>
    </r>
    <r>
      <rPr>
        <sz val="11"/>
        <color rgb="FF242424"/>
        <rFont val="Calibri, sans-serif"/>
      </rPr>
      <t xml:space="preserve"> </t>
    </r>
  </si>
  <si>
    <t>Tohono</t>
  </si>
  <si>
    <t>Molybdenum, Lead, Silver, Zinc, Gold. Silica</t>
  </si>
  <si>
    <t xml:space="preserve">N/A </t>
  </si>
  <si>
    <t>Cyprus Tohono Corporation</t>
  </si>
  <si>
    <t>Freeport-McMoRan Copper &amp; Gold, Inc.</t>
  </si>
  <si>
    <t>Tormey</t>
  </si>
  <si>
    <t>Molybdenuym, Silver</t>
  </si>
  <si>
    <t xml:space="preserve">Idaho </t>
  </si>
  <si>
    <r>
      <rPr>
        <u/>
        <sz val="11"/>
        <color rgb="FF1155CC"/>
        <rFont val="Calibri, sans-serif"/>
      </rPr>
      <t>https://www.idaho-copper.com/idaho-copper-corp-announces-official-name-and-symbol-change/</t>
    </r>
    <r>
      <rPr>
        <sz val="11"/>
        <color rgb="FF000000"/>
        <rFont val="Calibri, sans-serif"/>
      </rPr>
      <t>.</t>
    </r>
  </si>
  <si>
    <t>Twin Metals</t>
  </si>
  <si>
    <t>Silver, Gold, Platinum Group Metals, Nickel</t>
  </si>
  <si>
    <t>Minnesota</t>
  </si>
  <si>
    <t>Saint Louis</t>
  </si>
  <si>
    <t>Ely, MN</t>
  </si>
  <si>
    <t>Mesabi Iron Range</t>
  </si>
  <si>
    <t>Duluth Complex (Maturi Deposit)</t>
  </si>
  <si>
    <t>CL</t>
  </si>
  <si>
    <t>tps://www.twin-metals.com/meet-twin-metals/about-the-project/</t>
  </si>
  <si>
    <t>Antofagasta</t>
  </si>
  <si>
    <r>
      <rPr>
        <u/>
        <sz val="11"/>
        <color rgb="FF1155CC"/>
        <rFont val="Calibri, sans-serif"/>
      </rPr>
      <t>https://law.justia.com/cases/federal/district-courts/district-of-columbia/dcdce/1:2022cv02506/246541/62/</t>
    </r>
    <r>
      <rPr>
        <sz val="11"/>
        <color rgb="FF242424"/>
        <rFont val="Calibri, sans-serif"/>
      </rPr>
      <t>.</t>
    </r>
  </si>
  <si>
    <t>White Pine North</t>
  </si>
  <si>
    <t>Ontonagon</t>
  </si>
  <si>
    <t>White Pine, MI</t>
  </si>
  <si>
    <t>White Pine Copper, LLC/Kinterra</t>
  </si>
  <si>
    <t>https://www.highlandcopper.com/projects/white-pine-north-project/</t>
  </si>
  <si>
    <t>Yerington</t>
  </si>
  <si>
    <t>Yerington Copper District</t>
  </si>
  <si>
    <t>Singatse Peak Services</t>
  </si>
  <si>
    <t>Lion Copper and Gold Corp</t>
  </si>
  <si>
    <t>Cobalt</t>
  </si>
  <si>
    <t>Blackpine</t>
  </si>
  <si>
    <t>Cupper, Gold</t>
  </si>
  <si>
    <t>Cobalt, ID</t>
  </si>
  <si>
    <t>Blackbird</t>
  </si>
  <si>
    <t>Idaho Cobalt Belt</t>
  </si>
  <si>
    <t>Koba Resources Limited</t>
  </si>
  <si>
    <t>https://kobaresources.com</t>
  </si>
  <si>
    <t>Bonanza</t>
  </si>
  <si>
    <t>Battery Mineral Resources</t>
  </si>
  <si>
    <t>https://bmrcorp.com</t>
  </si>
  <si>
    <t>Colson</t>
  </si>
  <si>
    <t>Mineral Hill</t>
  </si>
  <si>
    <t xml:space="preserve">Elkhorn </t>
  </si>
  <si>
    <t>https://kobaresources.com/projects/cobalt/idaho-cobalt-belt-overview/elkhorn-project/</t>
  </si>
  <si>
    <t xml:space="preserve">Goodsprings </t>
  </si>
  <si>
    <t>Clark</t>
  </si>
  <si>
    <t>Goodsprings, NV</t>
  </si>
  <si>
    <t>Goodsprings</t>
  </si>
  <si>
    <t>https://kobaresources.com/projects/cobalt/idaho-cobalt-belt-overview/goodsprings-project/</t>
  </si>
  <si>
    <t>Idaho Cobalt Operations</t>
  </si>
  <si>
    <t>Copper, Gold</t>
  </si>
  <si>
    <t>Jervois</t>
  </si>
  <si>
    <t>https://jervoisglobal.com/projects/idaho-cobalt-operations/</t>
  </si>
  <si>
    <t>Jervois Global</t>
  </si>
  <si>
    <t>DOD</t>
  </si>
  <si>
    <t>Idaho Cobalt Project</t>
  </si>
  <si>
    <t>Champion Electric Metals</t>
  </si>
  <si>
    <t>https://www.champem.com</t>
  </si>
  <si>
    <t>Iron Creek</t>
  </si>
  <si>
    <t>Electra</t>
  </si>
  <si>
    <t>https://electrabmc.com/about-us/</t>
  </si>
  <si>
    <t>Copper, Nickel</t>
  </si>
  <si>
    <t>Missouri</t>
  </si>
  <si>
    <t>Cobalt, MO</t>
  </si>
  <si>
    <t>Mine La Motte-Fredericktown</t>
  </si>
  <si>
    <t>U.S. Strategic Metals</t>
  </si>
  <si>
    <t>https://www.usstrategicmetals.com/</t>
  </si>
  <si>
    <t>Import/Export &amp; US Citizenship and Immigration Services</t>
  </si>
  <si>
    <t xml:space="preserve">Panther </t>
  </si>
  <si>
    <t>https://kobaresources.com/projects/cobalt/idaho-cobalt-belt-overview/panther-project/</t>
  </si>
  <si>
    <t>Neodymium</t>
  </si>
  <si>
    <t>Bear Lodge</t>
  </si>
  <si>
    <t>Crook</t>
  </si>
  <si>
    <t>Sundance, WY</t>
  </si>
  <si>
    <t>Rare Element Resource Inc</t>
  </si>
  <si>
    <t>https://www.rareelementresources.com/company</t>
  </si>
  <si>
    <t>processing</t>
  </si>
  <si>
    <t>Brook</t>
  </si>
  <si>
    <t xml:space="preserve">neodyium, praseodyium, dysprosium, terbium </t>
  </si>
  <si>
    <t xml:space="preserve">Wyoming </t>
  </si>
  <si>
    <t>Sheridan</t>
  </si>
  <si>
    <t>Sheridan, WY</t>
  </si>
  <si>
    <t>Ramaco Resources</t>
  </si>
  <si>
    <t>https://ramacoresources.com/</t>
  </si>
  <si>
    <t>Cowboy State</t>
  </si>
  <si>
    <t>Platte</t>
  </si>
  <si>
    <t>Wheatland, WY</t>
  </si>
  <si>
    <t>Iron Mountain</t>
  </si>
  <si>
    <t>Wyoming Rare Inc</t>
  </si>
  <si>
    <t>https://americanrareearths.com.au/projects/halleck-creek-wy/</t>
  </si>
  <si>
    <t>American Rare Earths</t>
  </si>
  <si>
    <t>Import/Export Bank</t>
  </si>
  <si>
    <t>Construction and Operations</t>
  </si>
  <si>
    <t>Diamond Creek</t>
  </si>
  <si>
    <t xml:space="preserve">Lemhi Pass </t>
  </si>
  <si>
    <t>Idaho Strategic Resources</t>
  </si>
  <si>
    <t>https://idahostrategic.com/ree-overview/</t>
  </si>
  <si>
    <t>Elk Creek</t>
  </si>
  <si>
    <t>Niobium, Titanium</t>
  </si>
  <si>
    <t>Nebraska</t>
  </si>
  <si>
    <t>Johnson</t>
  </si>
  <si>
    <t>Elk Creek, NE</t>
  </si>
  <si>
    <t>NioCorp</t>
  </si>
  <si>
    <t>https://www.niocorp.com/elk-creek-project/</t>
  </si>
  <si>
    <t xml:space="preserve">Infrastructure </t>
  </si>
  <si>
    <t>La Paz</t>
  </si>
  <si>
    <t>Bouse, AZ</t>
  </si>
  <si>
    <t>Plomosa</t>
  </si>
  <si>
    <t>Western Rare Earths</t>
  </si>
  <si>
    <t>https://americanrareearths.com.au/projects/la-paz-rare-earth-project/</t>
  </si>
  <si>
    <t>Mountain Pass</t>
  </si>
  <si>
    <t>Baker, CA</t>
  </si>
  <si>
    <t>MP Materials</t>
  </si>
  <si>
    <t>https://mpmaterials.com/about/</t>
  </si>
  <si>
    <t>2020/2022/2024</t>
  </si>
  <si>
    <t>Processing/Magnet Prod.</t>
  </si>
  <si>
    <t>Pea Ridge</t>
  </si>
  <si>
    <t>Iron</t>
  </si>
  <si>
    <t>Washington</t>
  </si>
  <si>
    <t>Miramiguoa Park, MO</t>
  </si>
  <si>
    <t>Saint Francois</t>
  </si>
  <si>
    <t>Caldera Holdings Company</t>
  </si>
  <si>
    <t>IRS</t>
  </si>
  <si>
    <t>Tax Credit</t>
  </si>
  <si>
    <t>Magnet Prod</t>
  </si>
  <si>
    <t>Sheep Creek</t>
  </si>
  <si>
    <t>Ravalli</t>
  </si>
  <si>
    <t>Darby, MT</t>
  </si>
  <si>
    <t>Mineral Point</t>
  </si>
  <si>
    <t>US Critical Mineral Inc</t>
  </si>
  <si>
    <t>https://uscriticalmaterials.com/sheep-creek/</t>
  </si>
  <si>
    <t>Nickel</t>
  </si>
  <si>
    <t>Eagle</t>
  </si>
  <si>
    <t>Marquette</t>
  </si>
  <si>
    <t>Big Bay, MI</t>
  </si>
  <si>
    <t>Marquette Gold</t>
  </si>
  <si>
    <t>Lundin Mining Corp</t>
  </si>
  <si>
    <t>https://www.eaglemine.com/</t>
  </si>
  <si>
    <t>Explore in MI and MN</t>
  </si>
  <si>
    <r>
      <rPr>
        <u/>
        <sz val="11"/>
        <color rgb="FF1155CC"/>
        <rFont val="Calibri"/>
        <family val="2"/>
      </rPr>
      <t>http://www.keweenawreport.com/wp-content/uploads/2014/08/Water-Discharge-Decision-Court-of-Appeals-2014-08-13.pdf. http://www.keweenawreport.com/wp-content/uploads/2014/08/Mining-Permit-Decision-Court-of-Appeals-2014-08-13.pdf.</t>
    </r>
    <r>
      <rPr>
        <sz val="11"/>
        <color rgb="FF000000"/>
        <rFont val="Calibri"/>
        <family val="2"/>
      </rPr>
      <t xml:space="preserve"> </t>
    </r>
  </si>
  <si>
    <t>Mesaba</t>
  </si>
  <si>
    <t>Copper, Cobalt</t>
  </si>
  <si>
    <t>Babbitt, MN</t>
  </si>
  <si>
    <t>Duluth Complex</t>
  </si>
  <si>
    <t>NewRange Copper Nickel</t>
  </si>
  <si>
    <t>CA/US</t>
  </si>
  <si>
    <t>https://www.newrangecoppernickel.com/</t>
  </si>
  <si>
    <t>Teck/PolyMet Mining</t>
  </si>
  <si>
    <t>Michigan Nickel-Copper Properties</t>
  </si>
  <si>
    <t>Talon Metals</t>
  </si>
  <si>
    <t>BVI</t>
  </si>
  <si>
    <t>https://talonmetals.com</t>
  </si>
  <si>
    <t>Talon Metals Corp</t>
  </si>
  <si>
    <t>2022/2023/2024</t>
  </si>
  <si>
    <t>Nikolai</t>
  </si>
  <si>
    <t>Copper, Cobalt, Chromium, Iron, Silver</t>
  </si>
  <si>
    <t>Fairbanks</t>
  </si>
  <si>
    <t>Paxson, AK</t>
  </si>
  <si>
    <t>Delta River Mining District</t>
  </si>
  <si>
    <t>Alaska Energy Metals Corporation</t>
  </si>
  <si>
    <r>
      <rPr>
        <u/>
        <sz val="11"/>
        <color rgb="FF000000"/>
        <rFont val="Calibri"/>
        <family val="2"/>
        <scheme val="minor"/>
      </rPr>
      <t>https://alaskaenergymetals.com/projects/nikolai/</t>
    </r>
    <r>
      <rPr>
        <sz val="11"/>
        <color rgb="FF000000"/>
        <rFont val="Calibri"/>
        <family val="2"/>
        <scheme val="minor"/>
      </rPr>
      <t>.</t>
    </r>
  </si>
  <si>
    <t>Feasibility, Prospecting, Processing</t>
  </si>
  <si>
    <t>NorthMet</t>
  </si>
  <si>
    <t>CA/CH</t>
  </si>
  <si>
    <t>District, Appeals, Supreme</t>
  </si>
  <si>
    <t>https://nam12.safelinks.protection.outlook.com/?url=https%3A%2F%2Fwaterlegacy.org%2Fwp-content%2Fuploads%2F2023%2F08%2F2023-08-02-MN-S-Ct-Opinion-MPCA-PolyMet-NPDES-Published.pdf&amp;data=05%7C02%7Cshahalin%40iu.edu%7Cd64be31efca144a9b7f308dd261a9fb4%7C1113be34aed14d00ab4bcdd02510be91%7C0%7C0%7C638708617976441665%7CUnknown%7CTWFpbGZsb3d8eyJFbXB0eU1hcGkiOnRydWUsIlYiOiIwLjAuMDAwMCIsIlAiOiJXaW4zMiIsIkFOIjoiTWFpbCIsIldUIjoyfQ%3D%3D%7C0%7C%7C%7C&amp;sdata=eJB6QazzVy6mRtoJYS5rjbKaY%2F9y3Zlko%2B33ww40q%2FI%3D&amp;reserved=0</t>
  </si>
  <si>
    <t>Sawyer Camp</t>
  </si>
  <si>
    <t>Marquette, MI</t>
  </si>
  <si>
    <t>Global Battery Materials</t>
  </si>
  <si>
    <r>
      <rPr>
        <u/>
        <sz val="11"/>
        <color rgb="FF1155CC"/>
        <rFont val="Calibri, sans-serif"/>
      </rPr>
      <t>https://gbml.ca/news-releases/global-battery-metals-to-exit-nickel-copper-exploration-program-at-sawyer-camp/</t>
    </r>
  </si>
  <si>
    <t>Tamarack</t>
  </si>
  <si>
    <t>Aitkin</t>
  </si>
  <si>
    <t>Tamarack, MN</t>
  </si>
  <si>
    <t>Cuyuna Iron Range</t>
  </si>
  <si>
    <t>2022/2024</t>
  </si>
  <si>
    <t>Processing/Exploration</t>
  </si>
  <si>
    <t>Graphite</t>
  </si>
  <si>
    <t>BAMA</t>
  </si>
  <si>
    <t>Alabama</t>
  </si>
  <si>
    <t xml:space="preserve">Chilton </t>
  </si>
  <si>
    <t>Sylacauga, AL</t>
  </si>
  <si>
    <t>Alambama Graphite Products LLC</t>
  </si>
  <si>
    <r>
      <rPr>
        <u/>
        <sz val="11"/>
        <color rgb="FF1155CC"/>
        <rFont val="Calibri, sans-serif"/>
      </rPr>
      <t>https://gbml.ca/news-releases/global-battery-metals-to-exit-nickel-copper-exploration-program-at-sawyer-camp/</t>
    </r>
  </si>
  <si>
    <t>Westwater Resources</t>
  </si>
  <si>
    <t>BamaStar</t>
  </si>
  <si>
    <t>Coosa</t>
  </si>
  <si>
    <t>Alexander City, AL</t>
  </si>
  <si>
    <t>Alabama Graphite Belt</t>
  </si>
  <si>
    <t>South Star Battery Metals Corp</t>
  </si>
  <si>
    <t>https://www.southstarbatterymetals.com/ceylon-graphite-project/</t>
  </si>
  <si>
    <t>Feasibility Study</t>
  </si>
  <si>
    <t>Alabama Graphite</t>
  </si>
  <si>
    <t>https://westwaterresources.net/projects/graphite/coosa-graphite-project/</t>
  </si>
  <si>
    <t>Westwater Resources, Inc</t>
  </si>
  <si>
    <t>Graphite Creek</t>
  </si>
  <si>
    <t>Nome Census Area</t>
  </si>
  <si>
    <t>Nome, AK</t>
  </si>
  <si>
    <t>Port Clarence</t>
  </si>
  <si>
    <t>Graphite One Resources</t>
  </si>
  <si>
    <t>https://www.graphiteoneinc.com</t>
  </si>
  <si>
    <t>Manganese</t>
  </si>
  <si>
    <t>Emily/Cuyuna</t>
  </si>
  <si>
    <t>Crow Wing</t>
  </si>
  <si>
    <t>Cuyuna, MN</t>
  </si>
  <si>
    <t>North Star Manganese</t>
  </si>
  <si>
    <t>https://nsmanganese.com</t>
  </si>
  <si>
    <t>Nevada Silver Corporation</t>
  </si>
  <si>
    <t>Hermosa/Patagonia</t>
  </si>
  <si>
    <t>Copper, Silver, Lead, Zinc</t>
  </si>
  <si>
    <t>Nogales, AZ</t>
  </si>
  <si>
    <t>South 32</t>
  </si>
  <si>
    <t>https://www.south32.net/what-we-do/our-locations/americas/hermosa</t>
  </si>
  <si>
    <t>South32</t>
  </si>
  <si>
    <t>Manganese project/ Processing</t>
  </si>
  <si>
    <r>
      <rPr>
        <u/>
        <sz val="11"/>
        <color rgb="FF1155CC"/>
        <rFont val="Calibri, sans-serif"/>
      </rPr>
      <t>https://cdn.ca9.uscourts.gov/datastore/memoranda/2024/05/15/23-16167.pdf</t>
    </r>
    <r>
      <rPr>
        <sz val="11"/>
        <color rgb="FF242424"/>
        <rFont val="Calibri, sans-serif"/>
      </rPr>
      <t>.</t>
    </r>
  </si>
  <si>
    <t>Mine/Prospect</t>
  </si>
  <si>
    <t xml:space="preserve">Notes </t>
  </si>
  <si>
    <r>
      <rPr>
        <b/>
        <sz val="11"/>
        <color theme="1"/>
        <rFont val="Calibri"/>
        <family val="2"/>
      </rPr>
      <t xml:space="preserve">Project Description: Project Name: </t>
    </r>
    <r>
      <rPr>
        <sz val="11"/>
        <color theme="1"/>
        <rFont val="Calibri"/>
        <family val="2"/>
      </rPr>
      <t xml:space="preserve">Name of Project was changed from Clayton Valley Project to Angel Island Mine to distinguish from other Clayton Valley developments.
</t>
    </r>
    <r>
      <rPr>
        <b/>
        <sz val="11"/>
        <color theme="1"/>
        <rFont val="Calibri"/>
        <family val="2"/>
      </rPr>
      <t xml:space="preserve">Project Description: Mining Method: </t>
    </r>
    <r>
      <rPr>
        <sz val="11"/>
        <color theme="1"/>
        <rFont val="Calibri"/>
        <family val="2"/>
      </rPr>
      <t xml:space="preserve">Will extract lithium from sedimentary clay, similar to Thacker Pass and Rhyolite Ridge; will use hydrochloric acid instead of sulphuric acid as the solvent.
</t>
    </r>
    <r>
      <rPr>
        <b/>
        <sz val="11"/>
        <color theme="1"/>
        <rFont val="Calibri"/>
        <family val="2"/>
      </rPr>
      <t xml:space="preserve">Project Description: Status of Project:  </t>
    </r>
    <r>
      <rPr>
        <sz val="11"/>
        <color theme="1"/>
        <rFont val="Calibri"/>
        <family val="2"/>
      </rPr>
      <t xml:space="preserve">Since the completion of a Feasibility Study of Angel Island in April 2024, the developer’s attention has been on process optimization to drive reductions in the Project’s estimated capital and operating costs, environmental studies and permitting, and Project funding. 
</t>
    </r>
    <r>
      <rPr>
        <b/>
        <sz val="11"/>
        <color theme="1"/>
        <rFont val="Calibri"/>
        <family val="2"/>
      </rPr>
      <t xml:space="preserve">Project Description: Regulatory Challenges: </t>
    </r>
    <r>
      <rPr>
        <sz val="11"/>
        <color theme="1"/>
        <rFont val="Calibri"/>
        <family val="2"/>
      </rPr>
      <t xml:space="preserve">Conflict over water rights in the water-stressed area.  
</t>
    </r>
    <r>
      <rPr>
        <b/>
        <sz val="11"/>
        <color theme="1"/>
        <rFont val="Calibri"/>
        <family val="2"/>
      </rPr>
      <t xml:space="preserve">Location: Additional Location Information:  </t>
    </r>
    <r>
      <rPr>
        <sz val="11"/>
        <color theme="1"/>
        <rFont val="Calibri"/>
        <family val="2"/>
      </rPr>
      <t xml:space="preserve">Located in west-central Nevada (219 miles southeast of Reno and 206 miles northwest of Las Vegas), immediately east of Albemarle’s active Silver Peak lithium mine. The town of Silver Peak is 6 miles west, Goldfield is 24 miles east, Tonopah is 41 miles northeast.
</t>
    </r>
    <r>
      <rPr>
        <b/>
        <sz val="11"/>
        <color theme="1"/>
        <rFont val="Calibri"/>
        <family val="2"/>
      </rPr>
      <t>Developer Description: Lead Developer:</t>
    </r>
    <r>
      <rPr>
        <sz val="11"/>
        <color theme="1"/>
        <rFont val="Calibri"/>
        <family val="2"/>
      </rPr>
      <t xml:space="preserve"> Name of developer was changed from Cypress Development Corporation to Century Lithium Corporation in 2023.
</t>
    </r>
    <r>
      <rPr>
        <b/>
        <sz val="11"/>
        <color theme="1"/>
        <rFont val="Calibri"/>
        <family val="2"/>
      </rPr>
      <t>Development Plans: Processing Done by the Same Lead Developer/Parent Company: </t>
    </r>
    <r>
      <rPr>
        <sz val="11"/>
        <color theme="1"/>
        <rFont val="Calibri"/>
        <family val="2"/>
      </rPr>
      <t xml:space="preserve"> Yes, at a facility 125 miles south.  Metallurgical testing on Project material indicates low-cost processing can be achieved with conventional tank leaching and counter current decantation, resulting in low acid consumption and high lithium recovery of over 85% of total lithium. Lithium extraction facility at del Sol Refining in Amargosa Valley, Nevada. The operation of the Pilot Plant provided essential data for the Feasibility Study; Employs a hydrochloric acid leaching process combined with Onyx's 2021-acquired ion exchange DLP technology and Saltworks Technologies' refining process to produce high-purity 99.94% LCE, exceeding battery-grade standards.
</t>
    </r>
    <r>
      <rPr>
        <b/>
        <sz val="11"/>
        <color theme="1"/>
        <rFont val="Calibri"/>
        <family val="2"/>
      </rPr>
      <t xml:space="preserve">Land Ownership: Type of Land: </t>
    </r>
    <r>
      <rPr>
        <sz val="11"/>
        <color theme="1"/>
        <rFont val="Calibri"/>
        <family val="2"/>
      </rPr>
      <t>5,845 acres of BLM.</t>
    </r>
  </si>
  <si>
    <r>
      <rPr>
        <b/>
        <sz val="11"/>
        <color theme="1"/>
        <rFont val="Calibri"/>
        <family val="2"/>
      </rPr>
      <t xml:space="preserve">Project Description: Status of Project: </t>
    </r>
    <r>
      <rPr>
        <sz val="11"/>
        <color theme="1"/>
        <rFont val="Calibri"/>
        <family val="2"/>
      </rPr>
      <t xml:space="preserve">Mining on site since 1906; The Bagdad copper mine in Arizona (active) is in a feasibility analysis of a plan to double its concentrator capacity, but the urgency of the plan has been removed due to somewhat low copper prices.  The capital costs of the expansion cannot be justified at the current copper prices but higher copper prices would allow the expansion to move forward; The Bagdad mine is expected to be the first with a fully autonomous haulage system as a part of the process of converting its existing manned fleet to 100% autonomous operation.
</t>
    </r>
    <r>
      <rPr>
        <b/>
        <sz val="11"/>
        <color theme="1"/>
        <rFont val="Calibri"/>
        <family val="2"/>
      </rPr>
      <t xml:space="preserve">Location: Additional Location Information:  </t>
    </r>
    <r>
      <rPr>
        <sz val="11"/>
        <color theme="1"/>
        <rFont val="Calibri"/>
        <family val="2"/>
      </rPr>
      <t xml:space="preserve">Located just west of the company town of Bagdad (pop 2,661, 2022), 100 miles northwest of Phoenix, Arizona, within the Upper Burro Creek Wilderness area.
</t>
    </r>
    <r>
      <rPr>
        <b/>
        <sz val="11"/>
        <color theme="1"/>
        <rFont val="Calibri"/>
        <family val="2"/>
      </rPr>
      <t>Developer Description: Was There Change in Ownership during Project?:</t>
    </r>
    <r>
      <rPr>
        <sz val="11"/>
        <color theme="1"/>
        <rFont val="Calibri"/>
        <family val="2"/>
      </rPr>
      <t xml:space="preserve">Purchased from Boston Consolidated Mining Company in 1989. 
</t>
    </r>
    <r>
      <rPr>
        <b/>
        <sz val="11"/>
        <color theme="1"/>
        <rFont val="Calibri"/>
        <family val="2"/>
      </rPr>
      <t xml:space="preserve">Development Plans: Planned Production Capacity: </t>
    </r>
    <r>
      <rPr>
        <sz val="11"/>
        <color theme="1"/>
        <rFont val="Calibri"/>
        <family val="2"/>
      </rPr>
      <t>currently 25% of US demand.</t>
    </r>
  </si>
  <si>
    <r>
      <rPr>
        <b/>
        <sz val="11"/>
        <color theme="1"/>
        <rFont val="Calibri"/>
        <family val="2"/>
      </rPr>
      <t>Location: Additional Location Information:</t>
    </r>
    <r>
      <rPr>
        <sz val="11"/>
        <color theme="1"/>
        <rFont val="Calibri"/>
        <family val="2"/>
      </rPr>
      <t xml:space="preserve"> South of Sylacauga, Chilton County. Alabama, northwest of Montgomery, south of Birmingham, southwest of GOOSA Graphite Project.  The Bama Mine Project site is located less than 9 miles from I-65, and less than 1 mile from a major railroad.
</t>
    </r>
    <r>
      <rPr>
        <b/>
        <sz val="11"/>
        <color theme="1"/>
        <rFont val="Calibri"/>
        <family val="2"/>
      </rPr>
      <t>Developer Description: Was There a Change in Ownership during Project?:</t>
    </r>
    <r>
      <rPr>
        <sz val="11"/>
        <color theme="1"/>
        <rFont val="Calibri"/>
        <family val="2"/>
      </rPr>
      <t xml:space="preserve"> In December 2017 Westwater Resources Inc acquired Alabama Graphite Corporation. Westwater also agreed to provide Alabama Graphite with a secured loan to remedy Alabama Graphite’s working capital deficit, to pay outstanding payables, and to fund its essential operations until the close of the Acquisition (April 2018).
</t>
    </r>
    <r>
      <rPr>
        <b/>
        <sz val="11"/>
        <color theme="1"/>
        <rFont val="Calibri"/>
        <family val="2"/>
      </rPr>
      <t xml:space="preserve">Commericial Plans: Processing Done by Same Lead Develeoper/Parent Company: </t>
    </r>
    <r>
      <rPr>
        <sz val="11"/>
        <color theme="1"/>
        <rFont val="Calibri"/>
        <family val="2"/>
      </rPr>
      <t xml:space="preserve">Kellyton Graphite Processing Plant (nearby, under construction for $202 million) near Alexander City in Coosa County.  Plan: 7500 metric tons of refined graphite per year.
</t>
    </r>
    <r>
      <rPr>
        <b/>
        <sz val="11"/>
        <color theme="1"/>
        <rFont val="Calibri"/>
        <family val="2"/>
      </rPr>
      <t>Statement of Support from Public Officials: Local:</t>
    </r>
    <r>
      <rPr>
        <sz val="11"/>
        <color theme="1"/>
        <rFont val="Calibri"/>
        <family val="2"/>
      </rPr>
      <t xml:space="preserve"> State Sen. Clyde Chambliss, Alexander City Mayor Woody Baird, and representatives of the Coosa County Commission and the Lake Martin Area Economic Development Alliance.
</t>
    </r>
    <r>
      <rPr>
        <b/>
        <sz val="11"/>
        <color theme="1"/>
        <rFont val="Calibri"/>
        <family val="2"/>
      </rPr>
      <t xml:space="preserve">Statement of Support from Public Officials: State: </t>
    </r>
    <r>
      <rPr>
        <sz val="11"/>
        <color theme="1"/>
        <rFont val="Calibri"/>
        <family val="2"/>
      </rPr>
      <t xml:space="preserve">Governor Kay Ivey spoke at the groundbreaking ceremony for the processing plant (2022)
</t>
    </r>
    <r>
      <rPr>
        <b/>
        <sz val="11"/>
        <color theme="1"/>
        <rFont val="Calibri"/>
        <family val="2"/>
      </rPr>
      <t xml:space="preserve">Statement of Support from Public Officials: National: </t>
    </r>
    <r>
      <rPr>
        <sz val="11"/>
        <color theme="1"/>
        <rFont val="Calibri"/>
        <family val="2"/>
      </rPr>
      <t xml:space="preserve">U.S. Rep. Mike Rogers of Alabama who represents Coosa County area.               </t>
    </r>
  </si>
  <si>
    <t>Basin</t>
  </si>
  <si>
    <r>
      <rPr>
        <b/>
        <sz val="11"/>
        <color theme="1"/>
        <rFont val="Calibri"/>
        <family val="2"/>
      </rPr>
      <t>Project Description: Status of Project:</t>
    </r>
    <r>
      <rPr>
        <sz val="11"/>
        <color theme="1"/>
        <rFont val="Calibri"/>
        <family val="2"/>
      </rPr>
      <t xml:space="preserve"> Exploration began in 2018, drilling continues in 2024, east and west basin areas. 8,800 feet of core drilling is planned. Next steps include continuing the environmental assessment process (leading to a PEA), and drilling 52 boreholes.
</t>
    </r>
    <r>
      <rPr>
        <b/>
        <sz val="11"/>
        <color theme="1"/>
        <rFont val="Calibri"/>
        <family val="2"/>
      </rPr>
      <t>Location: Additional Location Information: </t>
    </r>
    <r>
      <rPr>
        <sz val="11"/>
        <color theme="1"/>
        <rFont val="Calibri"/>
        <family val="2"/>
      </rPr>
      <t>Located in west-central Arizona, around 6 miles from the operating Bagdad copper mine.</t>
    </r>
  </si>
  <si>
    <t xml:space="preserve">Bear Lodge </t>
  </si>
  <si>
    <t xml:space="preserve">Big Sandy </t>
  </si>
  <si>
    <t>Black Hills -- Patriot Lithium</t>
  </si>
  <si>
    <r>
      <rPr>
        <b/>
        <sz val="11"/>
        <color theme="1"/>
        <rFont val="Calibri"/>
        <family val="2"/>
      </rPr>
      <t xml:space="preserve">Project Description: Existing Mine: </t>
    </r>
    <r>
      <rPr>
        <sz val="11"/>
        <color theme="1"/>
        <rFont val="Calibri"/>
        <family val="2"/>
      </rPr>
      <t xml:space="preserve">Land includes old Blackpine copper mine operated from 1945 to 1965.
</t>
    </r>
    <r>
      <rPr>
        <b/>
        <sz val="11"/>
        <color theme="1"/>
        <rFont val="Calibri"/>
        <family val="2"/>
      </rPr>
      <t>Project Description: Status of Project:</t>
    </r>
    <r>
      <rPr>
        <sz val="11"/>
        <color theme="1"/>
        <rFont val="Calibri"/>
        <family val="2"/>
      </rPr>
      <t xml:space="preserve"> In FY 2023 Annual Report the developer stated there was no significant exploration activity at the site and no progress has been made; Koba Resources reports in its FY 2024 Annual Report that no significant work was done at its cobalt projects in FY 2024.
</t>
    </r>
    <r>
      <rPr>
        <b/>
        <sz val="11"/>
        <color theme="1"/>
        <rFont val="Calibri"/>
        <family val="2"/>
      </rPr>
      <t>Location: Additional Location Information: </t>
    </r>
    <r>
      <rPr>
        <sz val="11"/>
        <color theme="1"/>
        <rFont val="Calibri"/>
        <family val="2"/>
      </rPr>
      <t xml:space="preserve">Near Cobalt (pop 13, 2020), central Idaho. 
</t>
    </r>
    <r>
      <rPr>
        <b/>
        <sz val="11"/>
        <color theme="1"/>
        <rFont val="Calibri"/>
        <family val="2"/>
      </rPr>
      <t xml:space="preserve">Land Ownership: Type of Land: </t>
    </r>
    <r>
      <rPr>
        <sz val="11"/>
        <color theme="1"/>
        <rFont val="Calibri"/>
        <family val="2"/>
      </rPr>
      <t>Public land with US Forest Service oversight.</t>
    </r>
  </si>
  <si>
    <r>
      <rPr>
        <b/>
        <sz val="11"/>
        <color theme="1"/>
        <rFont val="Calibri"/>
        <family val="2"/>
      </rPr>
      <t xml:space="preserve">Project Description: Status of Project: </t>
    </r>
    <r>
      <rPr>
        <sz val="11"/>
        <color theme="1"/>
        <rFont val="Calibri"/>
        <family val="2"/>
      </rPr>
      <t xml:space="preserve"> In 2022 the developer’s maiden drill program revealed a new lithium discovery through Blue Clay Lithium Project in Clayton Valley. Lithium values as high as 1230 ppm Li were encountered with 800 ppm Li over 120 feet, including 1,011 ppm Li over 40 feet.
</t>
    </r>
    <r>
      <rPr>
        <b/>
        <sz val="11"/>
        <color theme="1"/>
        <rFont val="Calibri"/>
        <family val="2"/>
      </rPr>
      <t xml:space="preserve">Location: Additional Location Information: </t>
    </r>
    <r>
      <rPr>
        <sz val="11"/>
        <color theme="1"/>
        <rFont val="Calibri"/>
        <family val="2"/>
      </rPr>
      <t xml:space="preserve">Near town of Silver Peak (pop 121, 2020), Clayton Valley, Esmeralda County, Nevada. Directly adjoins the western portion of lithium producer Albemarle’s evaporation ponds and is nearby Century Lithium Corp.’s proposed 5,430-acre Angel Island Lithium Mine.
</t>
    </r>
    <r>
      <rPr>
        <b/>
        <sz val="11"/>
        <color theme="1"/>
        <rFont val="Calibri"/>
        <family val="2"/>
      </rPr>
      <t>Developer Description: Was There Change in Ownership during Project?:</t>
    </r>
    <r>
      <rPr>
        <sz val="11"/>
        <color theme="1"/>
        <rFont val="Calibri"/>
        <family val="2"/>
      </rPr>
      <t xml:space="preserve"> The developer closed an option agreement dated September 30, 2021 to acquire the Blue Clay Lithium Project in Clayton Valley Nevada. This project consists of 94 contiguous claims totaling approximately 1950 acres prospective for lithium. </t>
    </r>
  </si>
  <si>
    <r>
      <rPr>
        <b/>
        <sz val="11"/>
        <color theme="1"/>
        <rFont val="Calibri"/>
        <family val="2"/>
      </rPr>
      <t>Project Description: Status of Project: </t>
    </r>
    <r>
      <rPr>
        <sz val="11"/>
        <color theme="1"/>
        <rFont val="Calibri"/>
        <family val="2"/>
      </rPr>
      <t xml:space="preserve"> In the first quarter of 2024, the developer reported no field activity at the site.  
</t>
    </r>
    <r>
      <rPr>
        <b/>
        <sz val="11"/>
        <color theme="1"/>
        <rFont val="Calibri"/>
        <family val="2"/>
      </rPr>
      <t>Location: Additional Location Information:</t>
    </r>
    <r>
      <rPr>
        <sz val="11"/>
        <color theme="1"/>
        <rFont val="Calibri"/>
        <family val="2"/>
      </rPr>
      <t xml:space="preserve"> Near Cobalt (pop 13, 2020), central Idaho.
</t>
    </r>
    <r>
      <rPr>
        <b/>
        <sz val="11"/>
        <color theme="1"/>
        <rFont val="Calibri"/>
        <family val="2"/>
      </rPr>
      <t xml:space="preserve">Land Ownership: Type of Land: </t>
    </r>
    <r>
      <rPr>
        <sz val="11"/>
        <color theme="1"/>
        <rFont val="Calibri"/>
        <family val="2"/>
      </rPr>
      <t>3,200 hectare Bonanza Project holdings.</t>
    </r>
  </si>
  <si>
    <r>
      <rPr>
        <b/>
        <sz val="11"/>
        <color theme="1"/>
        <rFont val="Calibri"/>
        <family val="2"/>
      </rPr>
      <t xml:space="preserve">Project Description: Mining Method: </t>
    </r>
    <r>
      <rPr>
        <sz val="11"/>
        <color theme="1"/>
        <rFont val="Calibri"/>
        <family val="2"/>
      </rPr>
      <t xml:space="preserve">Borehole extraction method.
</t>
    </r>
    <r>
      <rPr>
        <b/>
        <sz val="11"/>
        <color theme="1"/>
        <rFont val="Calibri"/>
        <family val="2"/>
      </rPr>
      <t xml:space="preserve">Project Description: Existing Mine: </t>
    </r>
    <r>
      <rPr>
        <sz val="11"/>
        <color theme="1"/>
        <rFont val="Calibri"/>
        <family val="2"/>
      </rPr>
      <t xml:space="preserve">Previous industrial site – milling for local mines in the 1900s.
</t>
    </r>
    <r>
      <rPr>
        <b/>
        <sz val="11"/>
        <color theme="1"/>
        <rFont val="Calibri"/>
        <family val="2"/>
      </rPr>
      <t>Project Description: Status of Project: </t>
    </r>
    <r>
      <rPr>
        <sz val="11"/>
        <color theme="1"/>
        <rFont val="Calibri"/>
        <family val="2"/>
      </rPr>
      <t xml:space="preserve">The 2024 drilling program extended to 2,807 feet and intersected the northeast continuation of the high-grade Lithium and Boron mineralized zone. The 518 ft intercept is the thickest +5,000 ppm lithium interval drilled to date.
</t>
    </r>
    <r>
      <rPr>
        <b/>
        <sz val="11"/>
        <color theme="1"/>
        <rFont val="Calibri"/>
        <family val="2"/>
      </rPr>
      <t>Location: Additional Location Information: </t>
    </r>
    <r>
      <rPr>
        <sz val="11"/>
        <color theme="1"/>
        <rFont val="Calibri"/>
        <family val="2"/>
      </rPr>
      <t xml:space="preserve">Nearest town is Beatty (population 880, 2020), 25 miles southeast; Beatty is 8 miles east of Death Valley National Park in southeast Nevada; 125 miles northwest of Las Vegas, Nevada.
</t>
    </r>
    <r>
      <rPr>
        <b/>
        <sz val="11"/>
        <color theme="1"/>
        <rFont val="Calibri"/>
        <family val="2"/>
      </rPr>
      <t xml:space="preserve">Developer Description: Was There Change in Ownership during Project?:  </t>
    </r>
    <r>
      <rPr>
        <sz val="11"/>
        <color theme="1"/>
        <rFont val="Calibri"/>
        <family val="2"/>
      </rPr>
      <t xml:space="preserve">Iconic Minerals LTD first staked the land, then split ownership 50/50 with Nevada Lithium Resources Inc. before Nevada Lithium Inc. secured 100% ownership of the project.  
</t>
    </r>
    <r>
      <rPr>
        <b/>
        <sz val="11"/>
        <color theme="1"/>
        <rFont val="Calibri"/>
        <family val="2"/>
      </rPr>
      <t>Development Plans: Processing Plan in US: </t>
    </r>
    <r>
      <rPr>
        <sz val="11"/>
        <color theme="1"/>
        <rFont val="Calibri"/>
        <family val="2"/>
      </rPr>
      <t xml:space="preserve">Mineral processing has been planned to be conducted on-site, however this is still in the development phase; 
</t>
    </r>
    <r>
      <rPr>
        <b/>
        <sz val="11"/>
        <color theme="1"/>
        <rFont val="Calibri"/>
        <family val="2"/>
      </rPr>
      <t xml:space="preserve">Land Ownership: Type of Land: </t>
    </r>
    <r>
      <rPr>
        <sz val="11"/>
        <color theme="1"/>
        <rFont val="Calibri"/>
        <family val="2"/>
      </rPr>
      <t>Private Land - 18300-acre land package.</t>
    </r>
  </si>
  <si>
    <r>
      <rPr>
        <b/>
        <sz val="11"/>
        <color theme="1"/>
        <rFont val="Calibri"/>
        <family val="2"/>
      </rPr>
      <t>Project Description: Status of Project: </t>
    </r>
    <r>
      <rPr>
        <sz val="11"/>
        <color theme="1"/>
        <rFont val="Calibri"/>
        <family val="2"/>
      </rPr>
      <t xml:space="preserve">Development of the lithium project at Boron draws on developer’s long standing partnership with the U.S. Department of Energy’s Critical Materials Institute (CMI), which is committed to discovering ways to economically recover critical mineral by-products from existing refining and smelting processes. CMI experts worked alongside the developer’s technical leads to help solve a number of key processing challenges to produce battery grade lithium at Boron. The next step is to scale up the project.
</t>
    </r>
    <r>
      <rPr>
        <b/>
        <sz val="11"/>
        <color theme="1"/>
        <rFont val="Calibri"/>
        <family val="2"/>
      </rPr>
      <t xml:space="preserve">Location: Additional Location Information:  </t>
    </r>
    <r>
      <rPr>
        <sz val="11"/>
        <color theme="1"/>
        <rFont val="Calibri"/>
        <family val="2"/>
      </rPr>
      <t xml:space="preserve">Located on western edge of Mojave Desert, near town of Boron (pop 2,086, 2020), south-central California. Boron was a mining town established soon after a borax deposit was discovered in 1925. Site of California’s largest open-pit mine (boron) and largest boronate mine in the world.
</t>
    </r>
    <r>
      <rPr>
        <b/>
        <sz val="11"/>
        <color theme="1"/>
        <rFont val="Calibri"/>
        <family val="2"/>
      </rPr>
      <t xml:space="preserve">Financial Support: Federal Agency: </t>
    </r>
    <r>
      <rPr>
        <sz val="11"/>
        <color theme="1"/>
        <rFont val="Calibri"/>
        <family val="2"/>
      </rPr>
      <t>In-kind assistance through technical collaboration with DOE’s Critical Materials Institute; no grant or loan.</t>
    </r>
  </si>
  <si>
    <r>
      <rPr>
        <b/>
        <sz val="11"/>
        <color theme="1"/>
        <rFont val="Calibri"/>
        <family val="2"/>
      </rPr>
      <t xml:space="preserve">Project Description: Mining Method: </t>
    </r>
    <r>
      <rPr>
        <sz val="11"/>
        <color theme="1"/>
        <rFont val="Calibri"/>
        <family val="2"/>
      </rPr>
      <t xml:space="preserve">94% of mined material from open pit (Cactus West and Parks/Salyer), 6% from the Stockpile and Cactus East underground.
</t>
    </r>
    <r>
      <rPr>
        <b/>
        <sz val="11"/>
        <color theme="1"/>
        <rFont val="Calibri"/>
        <family val="2"/>
      </rPr>
      <t xml:space="preserve">Project Description: Existing Mine: </t>
    </r>
    <r>
      <rPr>
        <sz val="11"/>
        <color theme="1"/>
        <rFont val="Calibri"/>
        <family val="2"/>
      </rPr>
      <t xml:space="preserve">Yes. ASARCO operated copper mine from 1974-1984.   It was called the Sacaton mine.  
</t>
    </r>
    <r>
      <rPr>
        <b/>
        <sz val="11"/>
        <color theme="1"/>
        <rFont val="Calibri"/>
        <family val="2"/>
      </rPr>
      <t xml:space="preserve">Project Description: Status of Project:  </t>
    </r>
    <r>
      <rPr>
        <sz val="11"/>
        <color theme="1"/>
        <rFont val="Calibri"/>
        <family val="2"/>
      </rPr>
      <t xml:space="preserve">The developer completed a Preliminary Economic Assessment in the third quarter of 2024 following an updated mineral resource estimate from July 2024.  The next step is a definitive feasibility study.   
</t>
    </r>
    <r>
      <rPr>
        <b/>
        <sz val="11"/>
        <color theme="1"/>
        <rFont val="Calibri"/>
        <family val="2"/>
      </rPr>
      <t xml:space="preserve">Location: Additional Location Information:  </t>
    </r>
    <r>
      <rPr>
        <sz val="11"/>
        <color theme="1"/>
        <rFont val="Calibri"/>
        <family val="2"/>
      </rPr>
      <t xml:space="preserve">Located 43 miles south of Phoenix International Airport and 6.2 miles south of the city of Casa Grande (pop 55,653, 2020), Arizona.  
</t>
    </r>
    <r>
      <rPr>
        <b/>
        <sz val="11"/>
        <color theme="1"/>
        <rFont val="Calibri"/>
        <family val="2"/>
      </rPr>
      <t xml:space="preserve">Developer Description: Lead Developer: </t>
    </r>
    <r>
      <rPr>
        <sz val="11"/>
        <color theme="1"/>
        <rFont val="Calibri"/>
        <family val="2"/>
      </rPr>
      <t xml:space="preserve">Arizona Sonoran Copper (ASCU) has granted Nuton (a subsidiary of Rio Tinto Inc) an exclusive right and option to acquire between a 35% and 40% interest in its Cactus project.
</t>
    </r>
    <r>
      <rPr>
        <b/>
        <sz val="11"/>
        <color theme="1"/>
        <rFont val="Calibri"/>
        <family val="2"/>
      </rPr>
      <t xml:space="preserve">Developer Description: Was There Change in Ownership during Project?: </t>
    </r>
    <r>
      <rPr>
        <sz val="11"/>
        <color theme="1"/>
        <rFont val="Calibri"/>
        <family val="2"/>
      </rPr>
      <t xml:space="preserve">Developer acquired project from ASARCO Trust in July 2020.  
</t>
    </r>
    <r>
      <rPr>
        <b/>
        <sz val="11"/>
        <color theme="1"/>
        <rFont val="Calibri"/>
        <family val="2"/>
      </rPr>
      <t>Development Plans: Processing Done by the Same Lead Developer/Parent Company:</t>
    </r>
    <r>
      <rPr>
        <sz val="11"/>
        <color theme="1"/>
        <rFont val="Calibri"/>
        <family val="2"/>
      </rPr>
      <t xml:space="preserve">Copper cathodes will be produced directly onsite through heap leaching, solvent extraction, and electrowinning (SXEW), including a four-year ramp-up period.  </t>
    </r>
  </si>
  <si>
    <r>
      <rPr>
        <b/>
        <sz val="11"/>
        <color theme="1"/>
        <rFont val="Calibri"/>
        <family val="2"/>
      </rPr>
      <t>Project Description: Status of Project: </t>
    </r>
    <r>
      <rPr>
        <sz val="11"/>
        <color theme="1"/>
        <rFont val="Calibri"/>
        <family val="2"/>
      </rPr>
      <t xml:space="preserve">In March 2024, the developer filed a NI 43-101 technical report with an estimated inferred lithium carbon equivalent (LCE) resource of 302,900 metric tons over a 40-year extraction period. 
</t>
    </r>
    <r>
      <rPr>
        <b/>
        <sz val="11"/>
        <color theme="1"/>
        <rFont val="Calibri"/>
        <family val="2"/>
      </rPr>
      <t xml:space="preserve">Project Description: Regulatory Challenges: </t>
    </r>
    <r>
      <rPr>
        <sz val="11"/>
        <color theme="1"/>
        <rFont val="Calibri"/>
        <family val="2"/>
      </rPr>
      <t xml:space="preserve">The current state ground water regulation is the most serious issue for the Project. Clayton Valley is now judged to be over allocated and new diversions are not granted. To move into production, ACME will need to get permitting and allocation for water rights from the State of Nevada, purchase water rights from an existing holder, or see changes in how brines are regulated similar to geothermal fluids. 
</t>
    </r>
    <r>
      <rPr>
        <b/>
        <sz val="11"/>
        <color theme="1"/>
        <rFont val="Calibri"/>
        <family val="2"/>
      </rPr>
      <t>Location: Additional Location Information: </t>
    </r>
    <r>
      <rPr>
        <sz val="11"/>
        <color theme="1"/>
        <rFont val="Calibri"/>
        <family val="2"/>
      </rPr>
      <t xml:space="preserve">Located near Silver Peak (pop 213, 2022), 5 miles from Goldfield (pop 268, 2010), county seat of Esmeralda County, 30 miles west-southwest of Tonopah (pop 2,478, 2010), northwest quadrant of Clayton Valley, Nevada; less than 200 miles from Las Vegas; adjacent to Albemarle’s active Silver Peak lithium mine and the claims/exploration by Pure Energy Minerals.
</t>
    </r>
    <r>
      <rPr>
        <b/>
        <sz val="11"/>
        <color theme="1"/>
        <rFont val="Calibri"/>
        <family val="2"/>
      </rPr>
      <t xml:space="preserve">Land Ownership: Public Land Ownership: </t>
    </r>
    <r>
      <rPr>
        <sz val="11"/>
        <color theme="1"/>
        <rFont val="Calibri"/>
        <family val="2"/>
      </rPr>
      <t xml:space="preserve">119 lode mining claims, covering 2,230 acres. </t>
    </r>
  </si>
  <si>
    <t>Clayton Valley (PEM)</t>
  </si>
  <si>
    <r>
      <rPr>
        <b/>
        <sz val="11"/>
        <color theme="1"/>
        <rFont val="Calibri"/>
        <family val="2"/>
      </rPr>
      <t>Project Description: Status of Project: </t>
    </r>
    <r>
      <rPr>
        <sz val="11"/>
        <color theme="1"/>
        <rFont val="Calibri"/>
        <family val="2"/>
      </rPr>
      <t xml:space="preserve">The project received all necessary permits from the State of Nevada and the Nevada Division of Water Resources for the demonstration plant construction and water discharge in 2022 and 2023, respectively. Construction was largely completed by Q3 of 2023; The developer’s partner, SLB, demonstrated completion of specific technical milestones to qualify the earn-in to 100% Project ownership.  Those milestones included continuous production of lithium carbonate for an extended period and achieving a material quantity of lithium product in excess of a required purity threshold.  
</t>
    </r>
    <r>
      <rPr>
        <b/>
        <sz val="11"/>
        <color theme="1"/>
        <rFont val="Calibri"/>
        <family val="2"/>
      </rPr>
      <t xml:space="preserve">Project Description: Regulatory Challenges: </t>
    </r>
    <r>
      <rPr>
        <sz val="11"/>
        <color theme="1"/>
        <rFont val="Calibri"/>
        <family val="2"/>
      </rPr>
      <t>SLB’s subsidiary, NeoLith Energy, has plans for DLE in Clayton Valley and has sued Albemarle over water rights. State regulators have granted Silver Peak more than 20 “extensions of time” since the 1980s, though the state recently renewed a small temporary water permit for SLB’s pilot plant, recognizing that the Silver Peak mine has not used more than 70% of its water rights since 2022. But the state claims that no additional water allocations can be made, which puts Albemarle in a controlling position.  In 2024 the state renewed SLB’s water access permit but only for five years and only at a level sufficient to operate the DLE pilot plant. SLB and Partner Pure Energy Minerals now have all the permits they need to complete construction and operate the DLE demonstration plant. Water remains an issue for commercial-scale operation.</t>
    </r>
    <r>
      <rPr>
        <b/>
        <sz val="11"/>
        <color theme="1"/>
        <rFont val="Calibri"/>
        <family val="2"/>
      </rPr>
      <t xml:space="preserve"> 
Location: Additional Location Information:</t>
    </r>
    <r>
      <rPr>
        <sz val="11"/>
        <color theme="1"/>
        <rFont val="Calibri"/>
        <family val="2"/>
      </rPr>
      <t xml:space="preserve"> Located 3 miles southeast of Silver Peak (pop 213, 2022) in Clayton Valley, Nevada, adjacent to Albemarle’s active Silver Peak lithium mine. 
</t>
    </r>
    <r>
      <rPr>
        <b/>
        <sz val="11"/>
        <color theme="1"/>
        <rFont val="Calibri"/>
        <family val="2"/>
      </rPr>
      <t xml:space="preserve">Developer Description: Lead Developer: </t>
    </r>
    <r>
      <rPr>
        <sz val="11"/>
        <color theme="1"/>
        <rFont val="Calibri"/>
        <family val="2"/>
      </rPr>
      <t xml:space="preserve">SLB (USA), oil services company, (formerly Schlumberger Technology Inc.) is both partner and operator of the Clayton Valley Project. On May 29, 2019, Pure Energy and SLB signed an earn-In agreement over the CV Project which requires significant investment by SLB at the Project, to include the design and construction of a pilot plant capable of processing lithium-bearing brines for high-quality lithium hydroxide monohydrate (“lithium hydroxide” or “LiOH∙H2O”) and/or lithium carbonate products at a specified rate.
</t>
    </r>
    <r>
      <rPr>
        <b/>
        <sz val="11"/>
        <color theme="1"/>
        <rFont val="Calibri"/>
        <family val="2"/>
      </rPr>
      <t>Developer Description: Was There Change in Ownership during Project?: </t>
    </r>
    <r>
      <rPr>
        <sz val="11"/>
        <color theme="1"/>
        <rFont val="Calibri"/>
        <family val="2"/>
      </rPr>
      <t xml:space="preserve">PEM acquired the Clayton NE claim blocks located in Esmeralda County from Advantage Lithium and Nevada Sunrise Gold under an asset purchase agreement made in November 2017.
</t>
    </r>
    <r>
      <rPr>
        <b/>
        <sz val="11"/>
        <color theme="1"/>
        <rFont val="Calibri"/>
        <family val="2"/>
      </rPr>
      <t xml:space="preserve">Land Ownership: Type of Land: </t>
    </r>
    <r>
      <rPr>
        <sz val="11"/>
        <color theme="1"/>
        <rFont val="Calibri"/>
        <family val="2"/>
      </rPr>
      <t xml:space="preserve">Public (BLM), 950 claims in Clayton Valley area, project area is 23,360 acres. 
</t>
    </r>
    <r>
      <rPr>
        <b/>
        <sz val="11"/>
        <color theme="1"/>
        <rFont val="Calibri"/>
        <family val="2"/>
      </rPr>
      <t xml:space="preserve">Litigation: Evidence of Litigation: </t>
    </r>
    <r>
      <rPr>
        <sz val="11"/>
        <color theme="1"/>
        <rFont val="Calibri"/>
        <family val="2"/>
      </rPr>
      <t xml:space="preserve">For several years, Pure Energy Minerals has challenged Albemarle’s claims to use most of the water in the Valley. In total, Albemarle has received 21 extensions since the 1980s, according to a recent filing from Pure Energy Minerals. In 2020, a Nevada state district court judge ruled against an extension for Albemarle's water rights.
</t>
    </r>
    <r>
      <rPr>
        <b/>
        <sz val="11"/>
        <color theme="1"/>
        <rFont val="Calibri"/>
        <family val="2"/>
      </rPr>
      <t>Litigation: Court Rulings Issued:</t>
    </r>
    <r>
      <rPr>
        <sz val="11"/>
        <color theme="1"/>
        <rFont val="Calibri"/>
        <family val="2"/>
      </rPr>
      <t xml:space="preserve"> In August 2020, a district court judge sided with Pure Energy Minerals, remanding one of the extensions back to state regulators for further deliberations.</t>
    </r>
  </si>
  <si>
    <r>
      <rPr>
        <b/>
        <sz val="11"/>
        <color theme="1"/>
        <rFont val="Calibri"/>
        <family val="2"/>
      </rPr>
      <t xml:space="preserve">Project Description: Project Name: </t>
    </r>
    <r>
      <rPr>
        <sz val="11"/>
        <color theme="1"/>
        <rFont val="Calibri"/>
        <family val="2"/>
      </rPr>
      <t xml:space="preserve">The Halleck Creek Project was recently renamed the Cowboy State Mine, see Project Note on Developer.   
</t>
    </r>
    <r>
      <rPr>
        <b/>
        <sz val="11"/>
        <color theme="1"/>
        <rFont val="Calibri"/>
        <family val="2"/>
      </rPr>
      <t xml:space="preserve">Project Description: Co-Producing Materials: </t>
    </r>
    <r>
      <rPr>
        <sz val="11"/>
        <color theme="1"/>
        <rFont val="Calibri"/>
        <family val="2"/>
      </rPr>
      <t xml:space="preserve">Neodymium, praseodymium, dysprosium, and terbium, as well as secondary magnetic rare-earth oxides (REOs).  There is also a possibility that the Brook deposit may contain meaningful amounts of gallium and germanium, two critical minerals that are widely used in semiconductors and defense systems.
</t>
    </r>
    <r>
      <rPr>
        <b/>
        <sz val="11"/>
        <color theme="1"/>
        <rFont val="Calibri"/>
        <family val="2"/>
      </rPr>
      <t>Project Description: Status of Project: </t>
    </r>
    <r>
      <rPr>
        <sz val="11"/>
        <color theme="1"/>
        <rFont val="Calibri"/>
        <family val="2"/>
      </rPr>
      <t xml:space="preserve">2024 drilling program confirmed enormous potential of the project. Developer is advancing toward completing an updated resource estimate and Pre-Feasibility Study (PFS).
</t>
    </r>
    <r>
      <rPr>
        <b/>
        <sz val="11"/>
        <color theme="1"/>
        <rFont val="Calibri"/>
        <family val="2"/>
      </rPr>
      <t xml:space="preserve">Location: Additional Location Information: </t>
    </r>
    <r>
      <rPr>
        <sz val="11"/>
        <color theme="1"/>
        <rFont val="Calibri"/>
        <family val="2"/>
      </rPr>
      <t>Located in Laramie Mountains, southeast Wyoming; closest town is Wheatland (population 3,500, 2020). </t>
    </r>
    <r>
      <rPr>
        <b/>
        <sz val="11"/>
        <color theme="1"/>
        <rFont val="Calibri"/>
        <family val="2"/>
      </rPr>
      <t xml:space="preserve">                                                                              </t>
    </r>
    <r>
      <rPr>
        <sz val="11"/>
        <color theme="1"/>
        <rFont val="Calibri"/>
        <family val="2"/>
      </rPr>
      <t xml:space="preserve">
</t>
    </r>
    <r>
      <rPr>
        <b/>
        <sz val="11"/>
        <color theme="1"/>
        <rFont val="Calibri"/>
        <family val="2"/>
      </rPr>
      <t xml:space="preserve">Developer Description: Lead Developer: </t>
    </r>
    <r>
      <rPr>
        <sz val="11"/>
        <color theme="1"/>
        <rFont val="Calibri"/>
        <family val="2"/>
      </rPr>
      <t xml:space="preserve">A restructuring occurred in 2024 to attract domestic investment, accelerate development, and ease issues with foreign investment rules. Wyoming Rare Inc.is now separate and 100% owned; American Rare Earths is the parent organization. The company partitioned the Cowboy State Mine section of its Halleck Creek project into an independent entity now called Wyoming Rare (USA) Inc., or WRI, which may help the project draw on a targeted class of investors.
</t>
    </r>
    <r>
      <rPr>
        <b/>
        <sz val="11"/>
        <color theme="1"/>
        <rFont val="Calibri"/>
        <family val="2"/>
      </rPr>
      <t xml:space="preserve">Financial Support: Federal Agency: </t>
    </r>
    <r>
      <rPr>
        <sz val="11"/>
        <color theme="1"/>
        <rFont val="Calibri"/>
        <family val="2"/>
      </rPr>
      <t xml:space="preserve">In late 2024, the Export-Import Bank of the United States (EXIM) issued a non-binding Letter of Interest to provide up to US$456 million in debt financing to the project, specifically to assist with construction and operations of the project. Developer, Wyoming Rare Inc, also received $304,000 from the Wyoming Energy Authority as apart of their grant program.
</t>
    </r>
    <r>
      <rPr>
        <b/>
        <sz val="11"/>
        <color theme="1"/>
        <rFont val="Calibri"/>
        <family val="2"/>
      </rPr>
      <t xml:space="preserve">Land Ownership: Type of Land: </t>
    </r>
    <r>
      <rPr>
        <sz val="11"/>
        <color theme="1"/>
        <rFont val="Calibri"/>
        <family val="2"/>
      </rPr>
      <t>4,500 acres were permitted for mining in 2020; 15,800 acres in total.</t>
    </r>
  </si>
  <si>
    <r>
      <rPr>
        <b/>
        <sz val="11"/>
        <color theme="1"/>
        <rFont val="Calibri"/>
        <family val="2"/>
      </rPr>
      <t xml:space="preserve">Project Description: Status of Project: </t>
    </r>
    <r>
      <rPr>
        <sz val="11"/>
        <color theme="1"/>
        <rFont val="Calibri"/>
        <family val="2"/>
      </rPr>
      <t xml:space="preserve">Comprised of 4,550 acres of unpatented mining claims in the middle of the Idaho REE-Th Belt. Diamond Creek has a historic USGS resource which estimated 70,000+ tons of total rare earth elements at an average comprised ge grade of 1.22% TREO. In 2022 the company completed their first drill program at Diamond Creek, initial inspection of the core utilizing XRF analysis is favorable (see news release dated November 3rd) and are still awaiting the official assays from the lab.
</t>
    </r>
    <r>
      <rPr>
        <b/>
        <sz val="11"/>
        <color theme="1"/>
        <rFont val="Calibri"/>
        <family val="2"/>
      </rPr>
      <t xml:space="preserve">Location: Additional Location Information: </t>
    </r>
    <r>
      <rPr>
        <sz val="11"/>
        <color theme="1"/>
        <rFont val="Calibri"/>
        <family val="2"/>
      </rPr>
      <t xml:space="preserve">The Diamond Creek REE Project covers approximately 1,841 hectares (4,550 acres) and is comprised of 244 unpatented lode mining claims in central Idaho, a first tier mining jurisdiction located just north-northwest of the town of Salmon, Idaho.
</t>
    </r>
    <r>
      <rPr>
        <b/>
        <sz val="11"/>
        <color theme="1"/>
        <rFont val="Calibri"/>
        <family val="2"/>
      </rPr>
      <t>Land Ownership: Type of Land:</t>
    </r>
    <r>
      <rPr>
        <sz val="11"/>
        <color theme="1"/>
        <rFont val="Calibri"/>
        <family val="2"/>
      </rPr>
      <t xml:space="preserve"> Maintains 4,550 acres of unpatented mining claims and state lease land at Diamond Creek. :</t>
    </r>
  </si>
  <si>
    <r>
      <rPr>
        <b/>
        <sz val="11"/>
        <color theme="1"/>
        <rFont val="Calibri"/>
        <family val="2"/>
      </rPr>
      <t xml:space="preserve">Project Description: Status of Project: </t>
    </r>
    <r>
      <rPr>
        <sz val="11"/>
        <color theme="1"/>
        <rFont val="Calibri"/>
        <family val="2"/>
      </rPr>
      <t xml:space="preserve">Developer difficulties in raising funds to move to the development phase; May 2024 study found that electrification of mine could cut substantially both the capital and operating costs of the project.
</t>
    </r>
    <r>
      <rPr>
        <b/>
        <sz val="11"/>
        <color theme="1"/>
        <rFont val="Calibri"/>
        <family val="2"/>
      </rPr>
      <t xml:space="preserve">Location: Additional Location Information:  </t>
    </r>
    <r>
      <rPr>
        <sz val="11"/>
        <color theme="1"/>
        <rFont val="Calibri"/>
        <family val="2"/>
      </rPr>
      <t xml:space="preserve">Located 3 miles west of Elk Creek (pop 67, 2020), and 6 miles south of Tecumseh (1,677, 2010), southeast Nebraska; 65 miles southeast of Lincoln (state capital) and 80 miles south of Omaha.
</t>
    </r>
    <r>
      <rPr>
        <b/>
        <sz val="11"/>
        <color theme="1"/>
        <rFont val="Calibri"/>
        <family val="2"/>
      </rPr>
      <t xml:space="preserve">Land Ownership: Type of Land: </t>
    </r>
    <r>
      <rPr>
        <sz val="11"/>
        <color theme="1"/>
        <rFont val="Calibri"/>
        <family val="2"/>
      </rPr>
      <t>622 staked mining claims covering approximately 6,871 hectares (16,975 acres) in northern Idaho, in four claim blocks.</t>
    </r>
  </si>
  <si>
    <t>Elkhorn</t>
  </si>
  <si>
    <r>
      <rPr>
        <b/>
        <sz val="11"/>
        <color theme="1"/>
        <rFont val="Calibri"/>
        <family val="2"/>
      </rPr>
      <t xml:space="preserve">Project Description: Existing Mine: </t>
    </r>
    <r>
      <rPr>
        <sz val="11"/>
        <color theme="1"/>
        <rFont val="Calibri"/>
        <family val="2"/>
      </rPr>
      <t xml:space="preserve">Starting in 1921, ore with an average grade of 9.5% Co was regularly shipped from four mines in the area.
</t>
    </r>
    <r>
      <rPr>
        <b/>
        <sz val="11"/>
        <color theme="1"/>
        <rFont val="Calibri"/>
        <family val="2"/>
      </rPr>
      <t>Project Description: Status of Project: </t>
    </r>
    <r>
      <rPr>
        <sz val="11"/>
        <color theme="1"/>
        <rFont val="Calibri"/>
        <family val="2"/>
      </rPr>
      <t xml:space="preserve">Koba Resources reports in its FY 2024 Annual Report that no significant work was done at its cobalt projects in FY 2024.
</t>
    </r>
    <r>
      <rPr>
        <b/>
        <sz val="11"/>
        <color theme="1"/>
        <rFont val="Calibri"/>
        <family val="2"/>
      </rPr>
      <t>Location: Additional Location Information: </t>
    </r>
    <r>
      <rPr>
        <sz val="11"/>
        <color theme="1"/>
        <rFont val="Calibri"/>
        <family val="2"/>
      </rPr>
      <t xml:space="preserve">Located 9 miles northwest of the Blackbird Cobalt District in Idaho Cobalt Belt near Salmon (pop 3,295, 2023), central Idaho. 
</t>
    </r>
    <r>
      <rPr>
        <b/>
        <sz val="11"/>
        <color theme="1"/>
        <rFont val="Calibri"/>
        <family val="2"/>
      </rPr>
      <t>Developer Description: Lead Developer:</t>
    </r>
    <r>
      <rPr>
        <sz val="11"/>
        <color theme="1"/>
        <rFont val="Calibri"/>
        <family val="2"/>
      </rPr>
      <t xml:space="preserve"> Koba Resources (Australia), spun off New World in 2021.
</t>
    </r>
    <r>
      <rPr>
        <b/>
        <sz val="11"/>
        <color theme="1"/>
        <rFont val="Calibri"/>
        <family val="2"/>
      </rPr>
      <t xml:space="preserve">Developer Description: Was There Change in Ownership during Project?: </t>
    </r>
    <r>
      <rPr>
        <sz val="11"/>
        <color theme="1"/>
        <rFont val="Calibri"/>
        <family val="2"/>
      </rPr>
      <t xml:space="preserve">Prior owner was New World Cobalt Limited (Australia), previously named Longford Resources (Australia); temporarily sold to Tyranna in August 2018. 
</t>
    </r>
    <r>
      <rPr>
        <b/>
        <sz val="11"/>
        <color theme="1"/>
        <rFont val="Calibri"/>
        <family val="2"/>
      </rPr>
      <t>Land Ownership: Type of Land:</t>
    </r>
    <r>
      <rPr>
        <sz val="11"/>
        <color theme="1"/>
        <rFont val="Calibri"/>
        <family val="2"/>
      </rPr>
      <t xml:space="preserve"> 28 unpatented mining claims for 227 hectares of public land; part of Salmon National Forest (USFS)</t>
    </r>
  </si>
  <si>
    <r>
      <rPr>
        <b/>
        <sz val="11"/>
        <color theme="1"/>
        <rFont val="Calibri"/>
        <family val="2"/>
      </rPr>
      <t>Project Description: Status of Project:</t>
    </r>
    <r>
      <rPr>
        <sz val="11"/>
        <color theme="1"/>
        <rFont val="Calibri"/>
        <family val="2"/>
      </rPr>
      <t xml:space="preserve"> A 2023 drilling program in north region suggests lithium brines likely in the south region.  January 2024 seismic reflection survey identifies promising drilling target in south region.  Next step is deep drill hole to a depth of 1,150 meters in the southern region.
</t>
    </r>
    <r>
      <rPr>
        <b/>
        <sz val="11"/>
        <color theme="1"/>
        <rFont val="Calibri"/>
        <family val="2"/>
      </rPr>
      <t xml:space="preserve">Location: Additional Location Information: </t>
    </r>
    <r>
      <rPr>
        <sz val="11"/>
        <color theme="1"/>
        <rFont val="Calibri"/>
        <family val="2"/>
      </rPr>
      <t>Village of Dyer ~12 miles south; town of Tonopah ~50 miles east; northern Esmeralda County, equidistant (280 km) between Vegas and Reno, Fish Lake Valley, West Central Nevada. 30km northwest of Abermarle’s Silver Peak operations, 10km to Ioneer’s Rhyolite Ridge project, and 20km west of Argosy’s Tonopah Lithium project.</t>
    </r>
  </si>
  <si>
    <t xml:space="preserve">Fort Cady </t>
  </si>
  <si>
    <r>
      <rPr>
        <b/>
        <sz val="11"/>
        <color theme="1"/>
        <rFont val="Calibri"/>
        <family val="2"/>
      </rPr>
      <t xml:space="preserve">Project Description: Existing Mine: </t>
    </r>
    <r>
      <rPr>
        <sz val="11"/>
        <color theme="1"/>
        <rFont val="Calibri"/>
        <family val="2"/>
      </rPr>
      <t xml:space="preserve">Long history of small-scale mining activity in Goodsprings district.
</t>
    </r>
    <r>
      <rPr>
        <b/>
        <sz val="11"/>
        <color theme="1"/>
        <rFont val="Calibri"/>
        <family val="2"/>
      </rPr>
      <t>Project Description: Status of Project: </t>
    </r>
    <r>
      <rPr>
        <sz val="11"/>
        <color theme="1"/>
        <rFont val="Calibri"/>
        <family val="2"/>
      </rPr>
      <t xml:space="preserve">Koba Resources reports in its FY 2024 Annual Report that no significant work was done at its cobalt projects in FY 2024. Soil sampling was done in 2018 by the site's previous owner, but no drilling has been conducted as of early 2025.
</t>
    </r>
    <r>
      <rPr>
        <b/>
        <sz val="11"/>
        <color theme="1"/>
        <rFont val="Calibri"/>
        <family val="2"/>
      </rPr>
      <t>Location: Additional Location Information: </t>
    </r>
    <r>
      <rPr>
        <sz val="11"/>
        <color theme="1"/>
        <rFont val="Calibri"/>
        <family val="2"/>
      </rPr>
      <t xml:space="preserve">Located near the township of Goodsprings (pop 162, 2020), southern Nevada, approximately 31 miles southwest of Las Vegas.
</t>
    </r>
    <r>
      <rPr>
        <b/>
        <sz val="11"/>
        <color theme="1"/>
        <rFont val="Calibri"/>
        <family val="2"/>
      </rPr>
      <t xml:space="preserve">Developer Description: Was There Change in Ownership during Project?: </t>
    </r>
    <r>
      <rPr>
        <sz val="11"/>
        <color theme="1"/>
        <rFont val="Calibri"/>
        <family val="2"/>
      </rPr>
      <t xml:space="preserve">The site was previously owned by New World Cobalt Limited (Australia), previously named Longford Resources. 
</t>
    </r>
    <r>
      <rPr>
        <b/>
        <sz val="11"/>
        <color theme="1"/>
        <rFont val="Calibri"/>
        <family val="2"/>
      </rPr>
      <t>Land Ownership: Type of Land:</t>
    </r>
    <r>
      <rPr>
        <sz val="11"/>
        <color theme="1"/>
        <rFont val="Calibri"/>
        <family val="2"/>
      </rPr>
      <t>The developer owns a 100% interest in 118 unpatented mining claims covering approximately 900 hectares.</t>
    </r>
  </si>
  <si>
    <r>
      <rPr>
        <b/>
        <sz val="11"/>
        <color theme="1"/>
        <rFont val="Calibri"/>
        <family val="2"/>
      </rPr>
      <t xml:space="preserve">Project Description: Co-Producing Materials: </t>
    </r>
    <r>
      <rPr>
        <sz val="11"/>
        <color theme="1"/>
        <rFont val="Calibri"/>
        <family val="2"/>
      </rPr>
      <t xml:space="preserve">Wells in and around our project reported lithium up to 500ppm, bromine up to 6,100 ppm and boron up to 1,260 ppm (Gilbride &amp; Santos, 2012). This data is reinforced by nearby potash production and the advanced stage of neighbouring lithium projects
</t>
    </r>
    <r>
      <rPr>
        <b/>
        <sz val="11"/>
        <color theme="1"/>
        <rFont val="Calibri"/>
        <family val="2"/>
      </rPr>
      <t>Project Description: Land Ownership:</t>
    </r>
    <r>
      <rPr>
        <sz val="11"/>
        <color theme="1"/>
        <rFont val="Calibri"/>
        <family val="2"/>
      </rPr>
      <t xml:space="preserve"> Federal and State. The developer holds a 100% interest in eleven State of Utah (SITLA) mineral and minerals salt leases covering approx. 7,050 acres, 1095 federal lithium brine claims (Bureau of Land Management ("BLM") Placer Claims) covering 21,150 acres, and 11 federal (BLM) potash prospecting permits covering approximately 25,480 acres. Through these leases, permits and claims the Company has the ability to explore for potash, lithium and potential by-products across the entire Green River Project (approx. 32,530 acres).
</t>
    </r>
    <r>
      <rPr>
        <b/>
        <sz val="11"/>
        <color theme="1"/>
        <rFont val="Calibri"/>
        <family val="2"/>
      </rPr>
      <t>Project Description: Change in Ownership:</t>
    </r>
    <r>
      <rPr>
        <sz val="11"/>
        <color theme="1"/>
        <rFont val="Calibri"/>
        <family val="2"/>
      </rPr>
      <t xml:space="preserve"> In 2009, American Potash entered into an option agreement with Sweetwater River Resources for interest in these PPAs and was established as the Operator by the BLM in 2012. In 2024 a  new option agreement with LiK Resources LLC, a private Houston-based exploration company, on its Green River Potash and Lithium Project; the agreement defines conditions for 70% ownership by LiK Resources. 
</t>
    </r>
    <r>
      <rPr>
        <b/>
        <sz val="11"/>
        <color theme="1"/>
        <rFont val="Calibri"/>
        <family val="2"/>
      </rPr>
      <t xml:space="preserve">Location: Additional Location Information: </t>
    </r>
    <r>
      <rPr>
        <sz val="11"/>
        <color theme="1"/>
        <rFont val="Calibri"/>
        <family val="2"/>
      </rPr>
      <t>Paradox Basin, 20 miles northwest of Moab, Grand County, southeastern Utah; 13 miles northwest of Intrepid Potash’s evaporation pond solution mining operation. The proposed exploration area is located approximately 21 miles northwest of the town of Moab, Utah and 27 miles southeast of the town of Green River, Utah in the Spring Canyon Point area between the geographic features of Spring Canyon and Ten Mile Wash that are adjacent to the Green River.</t>
    </r>
  </si>
  <si>
    <t xml:space="preserve">Green River -- Blackstone
</t>
  </si>
  <si>
    <r>
      <rPr>
        <b/>
        <sz val="11"/>
        <color rgb="FF434343"/>
        <rFont val="Roboto"/>
      </rPr>
      <t xml:space="preserve">Project Description: Project Name: </t>
    </r>
    <r>
      <rPr>
        <sz val="11"/>
        <color rgb="FF434343"/>
        <rFont val="Roboto"/>
      </rPr>
      <t xml:space="preserve">The Idaho Cobalt Project is made up of the Victory Project, the Fairway Project, the Twin Peaks Project, and the Ulysses Project.
</t>
    </r>
    <r>
      <rPr>
        <b/>
        <sz val="11"/>
        <color rgb="FF434343"/>
        <rFont val="Roboto"/>
      </rPr>
      <t>Project Description: Co-Producing Materials:</t>
    </r>
    <r>
      <rPr>
        <sz val="11"/>
        <color rgb="FF434343"/>
        <rFont val="Roboto"/>
      </rPr>
      <t xml:space="preserve"> Idaho stands as one of the three locations globally, along with Finland and Morocco, where cobalt is the primary metal, making it a highly exceptional region for cobalt resources. However, the projects also would produce some copper and gold, which should enhance the economic viability of the projects.
</t>
    </r>
    <r>
      <rPr>
        <b/>
        <sz val="11"/>
        <color rgb="FF434343"/>
        <rFont val="Roboto"/>
      </rPr>
      <t xml:space="preserve">Project Description: Existing Mine: </t>
    </r>
    <r>
      <rPr>
        <sz val="11"/>
        <color rgb="FF434343"/>
        <rFont val="Roboto"/>
      </rPr>
      <t xml:space="preserve">Historical Twin Peaks mine and former Badger prospect. 
</t>
    </r>
    <r>
      <rPr>
        <b/>
        <sz val="11"/>
        <color rgb="FF434343"/>
        <rFont val="Roboto"/>
      </rPr>
      <t>Project Description: Status of Project: </t>
    </r>
    <r>
      <rPr>
        <sz val="11"/>
        <color rgb="FF434343"/>
        <rFont val="Roboto"/>
      </rPr>
      <t xml:space="preserve">The developer in 2023-2024 undertook geological mapping and rock sampling, combined  with a river sediment sampling program in the Twin Peaks area.  
</t>
    </r>
    <r>
      <rPr>
        <b/>
        <sz val="11"/>
        <color rgb="FF434343"/>
        <rFont val="Roboto"/>
      </rPr>
      <t xml:space="preserve">Location: Additional Location Information: </t>
    </r>
    <r>
      <rPr>
        <sz val="11"/>
        <color rgb="FF434343"/>
        <rFont val="Roboto"/>
      </rPr>
      <t xml:space="preserve">The Idaho Cobalt Project is comprised of two operations in separate locations in Idaho; the Mine and Mill, and the Cobalt Production Refining Facility (CPF). The Mine and Mill site is in East Central Idaho, approximately 26 miles west of the town of Salmon (pop 3,295, 2023). The CPF site is in an industrial park in the Blackfoot municipal area (pop 12,346, 2020) in southwest Idaho.  
</t>
    </r>
    <r>
      <rPr>
        <b/>
        <sz val="11"/>
        <color rgb="FF434343"/>
        <rFont val="Roboto"/>
      </rPr>
      <t xml:space="preserve">Developer Description: Lead Developer: </t>
    </r>
    <r>
      <rPr>
        <sz val="11"/>
        <color rgb="FF434343"/>
        <rFont val="Roboto"/>
      </rPr>
      <t xml:space="preserve">The lead developer, Champion Electric Metals, was established in 2016 under the name “Idaho Champion”, since initially it focused solely on Idaho-centric assets. However, in 2023 the company rebranded to Champion Electric to reflect its expansion into Québec and their focus on battery metals.
</t>
    </r>
    <r>
      <rPr>
        <b/>
        <sz val="11"/>
        <color rgb="FF434343"/>
        <rFont val="Roboto"/>
      </rPr>
      <t xml:space="preserve">Land Ownership: Type of Land: </t>
    </r>
    <r>
      <rPr>
        <sz val="11"/>
        <color rgb="FF434343"/>
        <rFont val="Roboto"/>
      </rPr>
      <t xml:space="preserve">6,280 acres of public land in Salmon National Forest </t>
    </r>
  </si>
  <si>
    <t>King's Mountain</t>
  </si>
  <si>
    <t>Lithium King</t>
  </si>
  <si>
    <r>
      <rPr>
        <b/>
        <sz val="11"/>
        <color theme="1"/>
        <rFont val="Calibri"/>
        <family val="2"/>
      </rPr>
      <t>Project Description: Mining Method:</t>
    </r>
    <r>
      <rPr>
        <sz val="11"/>
        <color theme="1"/>
        <rFont val="Calibri"/>
        <family val="2"/>
      </rPr>
      <t xml:space="preserve"> Extraction from brines. 
</t>
    </r>
    <r>
      <rPr>
        <b/>
        <sz val="11"/>
        <color theme="1"/>
        <rFont val="Calibri"/>
        <family val="2"/>
      </rPr>
      <t>Project Description: Existing Mine:</t>
    </r>
    <r>
      <rPr>
        <sz val="11"/>
        <color theme="1"/>
        <rFont val="Calibri"/>
        <family val="2"/>
      </rPr>
      <t xml:space="preserve">Three abandoned oil drilling operations. 
</t>
    </r>
    <r>
      <rPr>
        <b/>
        <sz val="11"/>
        <color theme="1"/>
        <rFont val="Calibri"/>
        <family val="2"/>
      </rPr>
      <t>Project Description: Status of Project: </t>
    </r>
    <r>
      <rPr>
        <sz val="11"/>
        <color theme="1"/>
        <rFont val="Calibri"/>
        <family val="2"/>
      </rPr>
      <t xml:space="preserve">Developer has made additional claims to avoid floodplain areas.  Plans for exploratory drilling underway in 2024. 
</t>
    </r>
    <r>
      <rPr>
        <b/>
        <sz val="11"/>
        <color theme="1"/>
        <rFont val="Calibri"/>
        <family val="2"/>
      </rPr>
      <t>Location: Additional Location Information: </t>
    </r>
    <r>
      <rPr>
        <sz val="11"/>
        <color theme="1"/>
        <rFont val="Calibri"/>
        <family val="2"/>
      </rPr>
      <t xml:space="preserve">Located near Wendover (pop 1,115, 2020), western Utah;  105 miles west of Salt Lake City along Highway 80. Property is located south of the Pilot Valley, at the western margin of the Bonneville Salt Flats.
</t>
    </r>
    <r>
      <rPr>
        <b/>
        <sz val="11"/>
        <color theme="1"/>
        <rFont val="Calibri"/>
        <family val="2"/>
      </rPr>
      <t xml:space="preserve">Developer Description: Lead Developer: </t>
    </r>
    <r>
      <rPr>
        <sz val="11"/>
        <color theme="1"/>
        <rFont val="Calibri"/>
        <family val="2"/>
      </rPr>
      <t xml:space="preserve">Global Battery Minerals (Canada) acquired the property in 2021 
</t>
    </r>
    <r>
      <rPr>
        <b/>
        <sz val="11"/>
        <color theme="1"/>
        <rFont val="Calibri"/>
        <family val="2"/>
      </rPr>
      <t>Land Ownership: Type of Land:</t>
    </r>
    <r>
      <rPr>
        <sz val="11"/>
        <color theme="1"/>
        <rFont val="Calibri"/>
        <family val="2"/>
      </rPr>
      <t xml:space="preserve"> Public (BLM).  7,900 acres of placer claims.</t>
    </r>
  </si>
  <si>
    <r>
      <rPr>
        <b/>
        <sz val="11"/>
        <color theme="1"/>
        <rFont val="Calibri"/>
        <family val="2"/>
      </rPr>
      <t xml:space="preserve">Project Description: Existing Mine: </t>
    </r>
    <r>
      <rPr>
        <sz val="11"/>
        <color theme="1"/>
        <rFont val="Calibri"/>
        <family val="2"/>
      </rPr>
      <t xml:space="preserve">Abandoned: mine was originally discovered in 1847 and has since undergone various periods of operation and closure.  Production started 1944.  Peak production 1983. Surface and underground operations. Now an EPA Superfund site.
</t>
    </r>
    <r>
      <rPr>
        <b/>
        <sz val="11"/>
        <color theme="1"/>
        <rFont val="Calibri"/>
        <family val="2"/>
      </rPr>
      <t>Project Description: Status of Project: </t>
    </r>
    <r>
      <rPr>
        <sz val="11"/>
        <color theme="1"/>
        <rFont val="Calibri"/>
        <family val="2"/>
      </rPr>
      <t xml:space="preserve">The developer is establishing partnership agreements as it presses its case for financial support from the federal government. Glencore added a processing partnership with US Strategic Metals and a Chilean company in 2024, along with the 2022 partnership with United States Strategic Metals LLC.
</t>
    </r>
    <r>
      <rPr>
        <b/>
        <sz val="11"/>
        <color theme="1"/>
        <rFont val="Calibri"/>
        <family val="2"/>
      </rPr>
      <t>Location: Additional Location Information: </t>
    </r>
    <r>
      <rPr>
        <sz val="11"/>
        <color theme="1"/>
        <rFont val="Calibri"/>
        <family val="2"/>
      </rPr>
      <t xml:space="preserve">Located near village of Cobalt (262, 2023) and Fredericktown (pop 4,429, 2020), Missouri, 90 miles south of St. Louis.
</t>
    </r>
    <r>
      <rPr>
        <b/>
        <sz val="11"/>
        <color theme="1"/>
        <rFont val="Calibri"/>
        <family val="2"/>
      </rPr>
      <t xml:space="preserve">Developer Description: Was There Change in Ownership during Project?:  </t>
    </r>
    <r>
      <rPr>
        <sz val="11"/>
        <color theme="1"/>
        <rFont val="Calibri"/>
        <family val="2"/>
      </rPr>
      <t xml:space="preserve">Missouri Cobalt purchased land in 2018.
</t>
    </r>
    <r>
      <rPr>
        <b/>
        <sz val="11"/>
        <color theme="1"/>
        <rFont val="Calibri"/>
        <family val="2"/>
      </rPr>
      <t xml:space="preserve">Development Plans: Processing Done by the Same Lead Developer/Parent Company: </t>
    </r>
    <r>
      <rPr>
        <sz val="11"/>
        <color theme="1"/>
        <rFont val="Calibri"/>
        <family val="2"/>
      </rPr>
      <t xml:space="preserve">Constructing nickel/cobalt processing facility that will produce battery-grade material.
</t>
    </r>
    <r>
      <rPr>
        <b/>
        <sz val="11"/>
        <color theme="1"/>
        <rFont val="Calibri"/>
        <family val="2"/>
      </rPr>
      <t>Financial Support: Federal Agency:</t>
    </r>
    <r>
      <rPr>
        <sz val="11"/>
        <color theme="1"/>
        <rFont val="Calibri"/>
        <family val="2"/>
      </rPr>
      <t xml:space="preserve"> $100.8 Million loan, now in expedited approval process, from the U.S. Citizenship and Immigration Services in recognition of the potential job creation by the company’s critical minerals project. 
</t>
    </r>
    <r>
      <rPr>
        <b/>
        <sz val="11"/>
        <color theme="1"/>
        <rFont val="Calibri"/>
        <family val="2"/>
      </rPr>
      <t xml:space="preserve">Litigation: Evidence of Litigation: </t>
    </r>
    <r>
      <rPr>
        <sz val="11"/>
        <color theme="1"/>
        <rFont val="Calibri"/>
        <family val="2"/>
      </rPr>
      <t xml:space="preserve">2024 lawsuit against Missouri Cobalt by DOJ/EPA alleges pollution of nearby bodies with copper and lead without permit.
</t>
    </r>
    <r>
      <rPr>
        <b/>
        <sz val="11"/>
        <color theme="1"/>
        <rFont val="Calibri"/>
        <family val="2"/>
      </rPr>
      <t>Reason for Concern: Air Quality:</t>
    </r>
    <r>
      <rPr>
        <sz val="11"/>
        <color theme="1"/>
        <rFont val="Calibri"/>
        <family val="2"/>
      </rPr>
      <t xml:space="preserve"> Community concerned about waste from the refining process, which may use carcinogenic chemicals to separate the cobalt.</t>
    </r>
  </si>
  <si>
    <t xml:space="preserve">Madison-Copper Gold                   </t>
  </si>
  <si>
    <r>
      <rPr>
        <b/>
        <sz val="11"/>
        <color theme="1"/>
        <rFont val="Calibri"/>
        <family val="2"/>
      </rPr>
      <t xml:space="preserve">Project Description: Status of Project: </t>
    </r>
    <r>
      <rPr>
        <sz val="11"/>
        <color theme="1"/>
        <rFont val="Calibri"/>
        <family val="2"/>
      </rPr>
      <t xml:space="preserve">The 2024 drill program confirmed promising deposits beyond the areas that have previously been mined. The next phase of drilling (Phase II) will further test this interpretation and expand the high-grade copper and gold to the west and east.  Additional drilling will be planned to extend the historically mined orebody below 130 meters. Project is permitted for mining, and surface and underground exploration.
</t>
    </r>
    <r>
      <rPr>
        <b/>
        <sz val="11"/>
        <color theme="1"/>
        <rFont val="Calibri"/>
        <family val="2"/>
      </rPr>
      <t xml:space="preserve">Location: Additional Location Information: </t>
    </r>
    <r>
      <rPr>
        <sz val="11"/>
        <color theme="1"/>
        <rFont val="Calibri"/>
        <family val="2"/>
      </rPr>
      <t xml:space="preserve">Southeast margin of the Highland Mountains, 1 mile west of Silver Star (pop 46, 2020) and 16 miles south of Whitehall (pop 1,006, 2020), Madison County, southwest Montana.
</t>
    </r>
    <r>
      <rPr>
        <b/>
        <sz val="11"/>
        <color theme="1"/>
        <rFont val="Calibri"/>
        <family val="2"/>
      </rPr>
      <t>Developer Description: Was There Change in Ownership during Project?:</t>
    </r>
    <r>
      <rPr>
        <sz val="11"/>
        <color theme="1"/>
        <rFont val="Calibri"/>
        <family val="2"/>
      </rPr>
      <t xml:space="preserve"> American Pacific acquired the Project from Broadway Gold in 2020. Broadway Gold is now considered as a subsidiary company of American Pacific. From 2019 to 2024, the Project operated under a joint venture (JV), earn-in agreement with Kennecott Exploration Company, part of the Rio Tinto Group, whereby Rio Tinto may spend $30 million USD to earn up to 70% of the Project. In 2024 American Pacific Mining regained 100% ownership and control of the Madison copper-gold project in the US from Kennecott Exploration, a subsidiary of the Rio Tinto Group. This development follows the decision by Kennecott Exploration to terminate the 11-year Madison earn-in agreement it signed with American Pacific, which aimed to secure up to a 70% interest in the project.
</t>
    </r>
    <r>
      <rPr>
        <b/>
        <sz val="11"/>
        <color theme="1"/>
        <rFont val="Calibri"/>
        <family val="2"/>
      </rPr>
      <t xml:space="preserve">Land Ownership: Type of Land:  </t>
    </r>
    <r>
      <rPr>
        <sz val="11"/>
        <color theme="1"/>
        <rFont val="Calibri"/>
        <family val="2"/>
      </rPr>
      <t xml:space="preserve">The Property totals 2,514 acres and includes a 192 acre deeded land parcel. The Property consists of 6 patented lode claims, 136 unpatented lode claims, and one federal unpatented placer claim. </t>
    </r>
  </si>
  <si>
    <r>
      <rPr>
        <b/>
        <sz val="11"/>
        <color theme="1"/>
        <rFont val="Calibri"/>
        <family val="2"/>
      </rPr>
      <t xml:space="preserve">Project Description: Mining Method: </t>
    </r>
    <r>
      <rPr>
        <sz val="11"/>
        <color theme="1"/>
        <rFont val="Calibri"/>
        <family val="2"/>
      </rPr>
      <t xml:space="preserve">Traditional open pit shovel/truck operation.
</t>
    </r>
    <r>
      <rPr>
        <b/>
        <sz val="11"/>
        <color theme="1"/>
        <rFont val="Calibri"/>
        <family val="2"/>
      </rPr>
      <t xml:space="preserve">Project Description: Existing Mine: </t>
    </r>
    <r>
      <rPr>
        <sz val="11"/>
        <color theme="1"/>
        <rFont val="Calibri"/>
        <family val="2"/>
      </rPr>
      <t xml:space="preserve">The Mason Valley property hosted several historical underground copper mines that were in production in the early 1900s. Historical drilling and production records from the past producing mines indicate the mineralization is high grade and starts at or near surface.    
</t>
    </r>
    <r>
      <rPr>
        <b/>
        <sz val="11"/>
        <color theme="1"/>
        <rFont val="Calibri"/>
        <family val="2"/>
      </rPr>
      <t>Project Description: Status of Project: </t>
    </r>
    <r>
      <rPr>
        <sz val="11"/>
        <color theme="1"/>
        <rFont val="Calibri"/>
        <family val="2"/>
      </rPr>
      <t xml:space="preserve">The developer views the Mason project as a long-term development asset and a high-quality copper growth opportunity. . Since acquiring Mason, the developer has consolidated mining claims contiguous to the project and advanced technical studies, including a revised resource model and a PEA.  In September 2023 a drill program was launched to test satellite deposits which confirmed the occurrence of high-grade skarn mineralization near the historical mines; they are potentially amenable to open pit mining but of limited spatial extent. In 2024 the developer was compiling and analyzing the results from the 2023 drilling and conducting additional metallurgical studies to refine Project economics.  No definite timetable has been disclosed for opening the mine.
</t>
    </r>
    <r>
      <rPr>
        <b/>
        <sz val="11"/>
        <color theme="1"/>
        <rFont val="Calibri"/>
        <family val="2"/>
      </rPr>
      <t xml:space="preserve">Location: Additional Location Information: </t>
    </r>
    <r>
      <rPr>
        <sz val="11"/>
        <color theme="1"/>
        <rFont val="Calibri"/>
        <family val="2"/>
      </rPr>
      <t xml:space="preserve">Located 5 miles west of Yerington (pop 3,194, 2023), in central-western Nevada near the California line; approximately 47 miles southeast of Reno.
</t>
    </r>
    <r>
      <rPr>
        <b/>
        <sz val="11"/>
        <color theme="1"/>
        <rFont val="Calibri"/>
        <family val="2"/>
      </rPr>
      <t xml:space="preserve">Developer Description: Was There Change in Ownership during Project?: </t>
    </r>
    <r>
      <rPr>
        <sz val="11"/>
        <color theme="1"/>
        <rFont val="Calibri"/>
        <family val="2"/>
      </rPr>
      <t xml:space="preserve">The developer purchased Mason Resources including the Mason Project in December 2018.  The developer consolidated a prospective package of patented and unpatented mining claims contiguous to the Mason project in two private transactions in 2019 and 2020, including a property called Mason Valley. Much of the Mason Valley property is located on Hudbay’s wholly owned private lands and contains highly prospective skarn mineralization. 
</t>
    </r>
    <r>
      <rPr>
        <b/>
        <sz val="11"/>
        <color theme="1"/>
        <rFont val="Calibri"/>
        <family val="2"/>
      </rPr>
      <t xml:space="preserve">Development Plans: Planned Production Capacity: </t>
    </r>
    <r>
      <rPr>
        <sz val="11"/>
        <color theme="1"/>
        <rFont val="Calibri"/>
        <family val="2"/>
      </rPr>
      <t xml:space="preserve">140,000 tons per yeat for the first 10 years declining thereafter
</t>
    </r>
    <r>
      <rPr>
        <b/>
        <sz val="11"/>
        <color theme="1"/>
        <rFont val="Calibri"/>
        <family val="2"/>
      </rPr>
      <t xml:space="preserve">Development Plans: Processing Plan in US: </t>
    </r>
    <r>
      <rPr>
        <sz val="11"/>
        <color theme="1"/>
        <rFont val="Calibri"/>
        <family val="2"/>
      </rPr>
      <t xml:space="preserve">A new nearby copper sulphide mineral processing plant capable of producing commercial grade copper and molybdenum concentrate. 
</t>
    </r>
    <r>
      <rPr>
        <b/>
        <sz val="11"/>
        <color theme="1"/>
        <rFont val="Calibri"/>
        <family val="2"/>
      </rPr>
      <t xml:space="preserve">Land Ownership: Type of Land: </t>
    </r>
    <r>
      <rPr>
        <sz val="11"/>
        <color theme="1"/>
        <rFont val="Calibri"/>
        <family val="2"/>
      </rPr>
      <t xml:space="preserve">Private, more land added in 2019 and 2020. </t>
    </r>
  </si>
  <si>
    <r>
      <rPr>
        <b/>
        <sz val="11"/>
        <color theme="1"/>
        <rFont val="Calibri"/>
        <family val="2"/>
      </rPr>
      <t xml:space="preserve">Project Description: Status of Project: </t>
    </r>
    <r>
      <rPr>
        <sz val="11"/>
        <color theme="1"/>
        <rFont val="Calibri"/>
        <family val="2"/>
      </rPr>
      <t xml:space="preserve">Spearmint is currently permitted by the BLM for 4 additional drill holes on the McGee Lithium Clay Project, building on its 2022 drilling on the property.  The 2022 drilling assessed the lithium resource potential west of the lithium mineral resource, building on the 2021 drilling program, which discovered a continuous, well mineralized section from near surface to a maximum depth of approximately 900 ft (274 m) below surface.
</t>
    </r>
    <r>
      <rPr>
        <b/>
        <sz val="11"/>
        <color theme="1"/>
        <rFont val="Calibri"/>
        <family val="2"/>
      </rPr>
      <t xml:space="preserve">Location: Additional Location Information: </t>
    </r>
    <r>
      <rPr>
        <sz val="11"/>
        <color theme="1"/>
        <rFont val="Calibri"/>
        <family val="2"/>
      </rPr>
      <t xml:space="preserve">Location: 34 miles west of the town of Tonopah (2,009, 2021), Esmeralda County, Nevada; southeast of Albemarle’s Silver Peak Mine
</t>
    </r>
    <r>
      <rPr>
        <b/>
        <sz val="11"/>
        <color theme="1"/>
        <rFont val="Calibri"/>
        <family val="2"/>
      </rPr>
      <t>Land Ownership: Type of Land:</t>
    </r>
    <r>
      <rPr>
        <sz val="11"/>
        <color theme="1"/>
        <rFont val="Calibri"/>
        <family val="2"/>
      </rPr>
      <t xml:space="preserve"> The Project consists of 26 contiguous unpatented placer claims that span from McGee 30 to McGee 55 and cover 890 acres.  </t>
    </r>
  </si>
  <si>
    <r>
      <rPr>
        <b/>
        <sz val="11"/>
        <color theme="1"/>
        <rFont val="Calibri"/>
        <family val="2"/>
      </rPr>
      <t>Project Description: Mining Method:</t>
    </r>
    <r>
      <rPr>
        <sz val="11"/>
        <color theme="1"/>
        <rFont val="Calibri"/>
        <family val="2"/>
      </rPr>
      <t xml:space="preserve"> The Project includes an open-pit copper mine, a smelter and a rod mill. Miami is no longer mining ore, but currently produces copper through leaching material already placed on stockpiles, which is expected to continue through at least 2025.   
</t>
    </r>
    <r>
      <rPr>
        <b/>
        <sz val="11"/>
        <color theme="1"/>
        <rFont val="Calibri"/>
        <family val="2"/>
      </rPr>
      <t>Project Description: Status of Project: </t>
    </r>
    <r>
      <rPr>
        <sz val="11"/>
        <color theme="1"/>
        <rFont val="Calibri"/>
        <family val="2"/>
      </rPr>
      <t xml:space="preserve">The developer, in a 2024 technical conference paper, reported on sustainability improvements at its Miami smelter operation.
</t>
    </r>
    <r>
      <rPr>
        <b/>
        <sz val="11"/>
        <color theme="1"/>
        <rFont val="Calibri"/>
        <family val="2"/>
      </rPr>
      <t>Location: Additional Location Information: </t>
    </r>
    <r>
      <rPr>
        <sz val="11"/>
        <color theme="1"/>
        <rFont val="Calibri"/>
        <family val="2"/>
      </rPr>
      <t xml:space="preserve">Located 90 miles east of Phoenix, near Miami (pop 1,532, 2023) and six miles west of the city of Globe (pop 7,249, 2020), Arizona. 
</t>
    </r>
    <r>
      <rPr>
        <b/>
        <sz val="11"/>
        <color theme="1"/>
        <rFont val="Calibri"/>
        <family val="2"/>
      </rPr>
      <t xml:space="preserve">Development Plans: Processing Done by the Same Lead Developer/Parent Company: </t>
    </r>
    <r>
      <rPr>
        <sz val="11"/>
        <color theme="1"/>
        <rFont val="Calibri"/>
        <family val="2"/>
      </rPr>
      <t>The Miami smelter processes copper concentrate primarily from the developer's Arizona copper mines. In addition, because sulphuric acid is a by-product of smelting concentrates, the Miami smelter is a significant source of sulphuric acid for the developer's North America leaching operations.</t>
    </r>
  </si>
  <si>
    <r>
      <rPr>
        <b/>
        <sz val="11"/>
        <color theme="1"/>
        <rFont val="Calibri"/>
        <family val="2"/>
      </rPr>
      <t xml:space="preserve">Project Description: Existing Mine: </t>
    </r>
    <r>
      <rPr>
        <sz val="11"/>
        <color theme="1"/>
        <rFont val="Calibri"/>
        <family val="2"/>
      </rPr>
      <t xml:space="preserve">New drilling, but two miles from current Eagle mine in Michigan
</t>
    </r>
    <r>
      <rPr>
        <b/>
        <sz val="11"/>
        <color theme="1"/>
        <rFont val="Calibri"/>
        <family val="2"/>
      </rPr>
      <t>Project Description: Status of Project: </t>
    </r>
    <r>
      <rPr>
        <sz val="11"/>
        <color theme="1"/>
        <rFont val="Calibri"/>
        <family val="2"/>
      </rPr>
      <t xml:space="preserve">The develper sought a lease from the Michigan Department of Natural Resources (DNR) to drill on more than 23,000 public acres in Baraga, Houghton, Iron and Marquette counties.  MDNR granted the lease in 2024. In October 2024 the developer announced discovery of new nickel-copper reserves at Boulderdash target.  
</t>
    </r>
    <r>
      <rPr>
        <b/>
        <sz val="11"/>
        <color theme="1"/>
        <rFont val="Calibri"/>
        <family val="2"/>
      </rPr>
      <t>Location: Additional Location Information: </t>
    </r>
    <r>
      <rPr>
        <sz val="11"/>
        <color theme="1"/>
        <rFont val="Calibri"/>
        <family val="2"/>
      </rPr>
      <t xml:space="preserve">Located in the Upper Peninsula of Michigan, within 1.7 miles of the high-grade Eagle Nickel Mine — the only active nickel mine in the USA today — and only 0.4 miles from the Humboldt Mill (processing); The mine is located in Western Marquette County, Upper Peninsula, Michigan; closest town, 15 miles away, is Big Bay (pop 257, 2020); Marquette (pop 20,629, 2020) is 33 miles away. 
</t>
    </r>
    <r>
      <rPr>
        <b/>
        <sz val="11"/>
        <color theme="1"/>
        <rFont val="Calibri"/>
        <family val="2"/>
      </rPr>
      <t xml:space="preserve">Developer Description: Parent Company: </t>
    </r>
    <r>
      <rPr>
        <sz val="11"/>
        <color theme="1"/>
        <rFont val="Calibri"/>
        <family val="2"/>
      </rPr>
      <t xml:space="preserve">UPX is subsidiary of Sweetwater Royalties, see Note on change in ownership. 
</t>
    </r>
    <r>
      <rPr>
        <b/>
        <sz val="11"/>
        <color theme="1"/>
        <rFont val="Calibri"/>
        <family val="2"/>
      </rPr>
      <t>Developer Description: Was There Change in Ownership during Project?: </t>
    </r>
    <r>
      <rPr>
        <sz val="11"/>
        <color theme="1"/>
        <rFont val="Calibri"/>
        <family val="2"/>
      </rPr>
      <t xml:space="preserve">Talon has entered into an option agreement with UPX to acquire up to an 80% ownership interest in the Michigan nickel properties. Under the agreement terms, Talon has agreed to a minimum spending obligation of up to $5 million in exploration expenditures or drilling of at least 7,500 meters.
</t>
    </r>
    <r>
      <rPr>
        <b/>
        <sz val="11"/>
        <color theme="1"/>
        <rFont val="Calibri"/>
        <family val="2"/>
      </rPr>
      <t xml:space="preserve">Development Plans: Processing Plan in US: </t>
    </r>
    <r>
      <rPr>
        <sz val="11"/>
        <color theme="1"/>
        <rFont val="Calibri"/>
        <family val="2"/>
      </rPr>
      <t xml:space="preserve">Nearby in Mercer County, North Dakota.  
</t>
    </r>
    <r>
      <rPr>
        <b/>
        <sz val="11"/>
        <color theme="1"/>
        <rFont val="Calibri"/>
        <family val="2"/>
      </rPr>
      <t xml:space="preserve">Financial Support: Federal Agency: </t>
    </r>
    <r>
      <rPr>
        <sz val="11"/>
        <color theme="1"/>
        <rFont val="Calibri"/>
        <family val="2"/>
      </rPr>
      <t xml:space="preserve">In September 2023, the Department of Defense awarded Talon $20.6 million in grant funding from the Defense Production Act to explore and discover more high-grade nickel mineralization in Michigan and Minnesota. The Department of Defense also agreed to provide a grant of $20.4 million to help support exploration and the feasibility study.  In 2022 the U.S. Department of Energy awarded Talon $114 million to develop a nickel ore processing plant in Mercer County, North Dakota.
</t>
    </r>
    <r>
      <rPr>
        <b/>
        <sz val="11"/>
        <color theme="1"/>
        <rFont val="Calibri"/>
        <family val="2"/>
      </rPr>
      <t>Land Ownership: Type of Land:</t>
    </r>
    <r>
      <rPr>
        <sz val="11"/>
        <color theme="1"/>
        <rFont val="Calibri"/>
        <family val="2"/>
      </rPr>
      <t xml:space="preserve">The developer acquired rights to explore for nickel on 400,000 private acres in the Upper Peninsula.  The developer has also requested a lease to drill on nearby public land. Michigan Department of Natural Resources granted 23,000 acres of mineral leases. </t>
    </r>
  </si>
  <si>
    <t>Moonlight-Superior Copper</t>
  </si>
  <si>
    <r>
      <rPr>
        <b/>
        <sz val="11"/>
        <color theme="1"/>
        <rFont val="Calibri"/>
        <family val="2"/>
      </rPr>
      <t>Project Description: Status of Project: </t>
    </r>
    <r>
      <rPr>
        <sz val="11"/>
        <color theme="1"/>
        <rFont val="Calibri"/>
        <family val="2"/>
      </rPr>
      <t xml:space="preserve">Exploration. The Nikolai Project is comprised of two blocks of claims – Eureka and Canwell – that each host compelling nickel targets.  The developer’s 2023 drilling program explored Eureka while the 2024 program explored Canwell, which is 13 miles northeast of Eureka.  Both programs uncovered massive deposits of nickel, copper, and cobalt.  
</t>
    </r>
    <r>
      <rPr>
        <b/>
        <sz val="11"/>
        <color theme="1"/>
        <rFont val="Calibri"/>
        <family val="2"/>
      </rPr>
      <t xml:space="preserve">Location: Additional Location Information: </t>
    </r>
    <r>
      <rPr>
        <sz val="11"/>
        <color theme="1"/>
        <rFont val="Calibri"/>
        <family val="2"/>
      </rPr>
      <t xml:space="preserve">Located 30 miles from village of Paxson (pop 26, 2020), 50 miles south of the City of Delta Junction (pop 958, 2010) on the southern flank of Alaska Range, 125 miles southeast of Fairbanks, Southeast Fairbanks Census area, Alaska. 
</t>
    </r>
    <r>
      <rPr>
        <b/>
        <sz val="11"/>
        <color theme="1"/>
        <rFont val="Calibri"/>
        <family val="2"/>
      </rPr>
      <t xml:space="preserve">Developer Description: Lead Developer: </t>
    </r>
    <r>
      <rPr>
        <sz val="11"/>
        <color theme="1"/>
        <rFont val="Calibri"/>
        <family val="2"/>
      </rPr>
      <t xml:space="preserve">Alaska Energy Metals Corporation (AEMC), USA (100% owner), company renamed early 2013, previously Millrock Resources Inc.
</t>
    </r>
    <r>
      <rPr>
        <b/>
        <sz val="11"/>
        <color theme="1"/>
        <rFont val="Calibri"/>
        <family val="2"/>
      </rPr>
      <t>Developer Description: Was There Change in Ownership during Project?:</t>
    </r>
    <r>
      <rPr>
        <sz val="11"/>
        <color theme="1"/>
        <rFont val="Calibri"/>
        <family val="2"/>
      </rPr>
      <t xml:space="preserve"> Nico sold to Vale in the 1990s, which sold to junior miner Pure Nickel Inc (extensive drilling from 2007-2014), which sold data and rights to Millrock Resources, later renamed AEMC. 
</t>
    </r>
    <r>
      <rPr>
        <b/>
        <sz val="11"/>
        <color theme="1"/>
        <rFont val="Calibri"/>
        <family val="2"/>
      </rPr>
      <t xml:space="preserve">Land Ownership: Type of Land: </t>
    </r>
    <r>
      <rPr>
        <sz val="11"/>
        <color theme="1"/>
        <rFont val="Calibri"/>
        <family val="2"/>
      </rPr>
      <t>The Eureka claim block consists of 104 State of Alaska mining claims (6734 hectares) and is 100% owned by the developer.  The Canwell claim block consists of 42 State of Alaska mining claims (2720 hectares), with an option to purchase 100% interest in the claims from the underlying owner. In total, the project covers 94.54 km2 (9454 hectares).</t>
    </r>
  </si>
  <si>
    <r>
      <rPr>
        <b/>
        <sz val="11"/>
        <color theme="1"/>
        <rFont val="Calibri"/>
        <family val="2"/>
      </rPr>
      <t xml:space="preserve">Project Description: Mining Method: </t>
    </r>
    <r>
      <rPr>
        <sz val="11"/>
        <color theme="1"/>
        <rFont val="Calibri"/>
        <family val="2"/>
      </rPr>
      <t xml:space="preserve"> Lithium clays and brine exploration.
</t>
    </r>
    <r>
      <rPr>
        <b/>
        <sz val="11"/>
        <color theme="1"/>
        <rFont val="Calibri"/>
        <family val="2"/>
      </rPr>
      <t>Project Description: Status of Project:</t>
    </r>
    <r>
      <rPr>
        <sz val="11"/>
        <color theme="1"/>
        <rFont val="Calibri"/>
        <family val="2"/>
      </rPr>
      <t xml:space="preserve"> 2023-2024 included electromagnetic sounding and soil sampling and drilling in the Carvers area; followed by electromagnetic sounding in the Austin area.
</t>
    </r>
    <r>
      <rPr>
        <b/>
        <sz val="11"/>
        <color theme="1"/>
        <rFont val="Calibri"/>
        <family val="2"/>
      </rPr>
      <t xml:space="preserve">Location: Additional Location Information: </t>
    </r>
    <r>
      <rPr>
        <sz val="11"/>
        <color theme="1"/>
        <rFont val="Calibri"/>
        <family val="2"/>
      </rPr>
      <t xml:space="preserve">9 miles north of the village of Carvers; 45 miles north of town of  Tonopah (pop 2,478, 2010); Big Smoky Valley, Nye County, Nevada, 143 miles east of Reno.
</t>
    </r>
    <r>
      <rPr>
        <b/>
        <sz val="11"/>
        <color theme="1"/>
        <rFont val="Calibri"/>
        <family val="2"/>
      </rPr>
      <t>Developer Description: Lead Developer</t>
    </r>
    <r>
      <rPr>
        <sz val="11"/>
        <color theme="1"/>
        <rFont val="Calibri"/>
        <family val="2"/>
      </rPr>
      <t xml:space="preserve">: Morella Corporation (Australia) has a 60% earn-in interest through cash, stock and exploration and development progress.
</t>
    </r>
    <r>
      <rPr>
        <b/>
        <sz val="11"/>
        <color theme="1"/>
        <rFont val="Calibri"/>
        <family val="2"/>
      </rPr>
      <t xml:space="preserve">Land Ownership: Type of Land: </t>
    </r>
    <r>
      <rPr>
        <sz val="11"/>
        <color theme="1"/>
        <rFont val="Calibri"/>
        <family val="2"/>
      </rPr>
      <t>3,400 acres (1,375 hectares); Claims divided into Carvers and Austin areas.</t>
    </r>
  </si>
  <si>
    <r>
      <rPr>
        <b/>
        <sz val="11"/>
        <color theme="1"/>
        <rFont val="Calibri"/>
        <family val="2"/>
      </rPr>
      <t>Location: Additional Location Information</t>
    </r>
    <r>
      <rPr>
        <sz val="11"/>
        <color theme="1"/>
        <rFont val="Calibri"/>
        <family val="2"/>
      </rPr>
      <t xml:space="preserve">: Southeast Alaska, 37 miles from the deep sea port at Haines (pop 1,657, 2020), Alaska.
</t>
    </r>
    <r>
      <rPr>
        <b/>
        <sz val="11"/>
        <color theme="1"/>
        <rFont val="Calibri"/>
        <family val="2"/>
      </rPr>
      <t>Developer Description: Status of Project:</t>
    </r>
    <r>
      <rPr>
        <sz val="11"/>
        <color theme="1"/>
        <rFont val="Calibri"/>
        <family val="2"/>
      </rPr>
      <t xml:space="preserve"> The 2024 drilling program was designed to continue testing the extent of the high-grade copper mineralization of the Palmer Deposit South Wall Zone 1 and Zone 2-3 and initial testing of the nearby North Wall Alteration Zone. Infill and geotechnical drilling over the last several years has been successful in increasing confidence in the known deposits; significant increases in the in-situ copper estimate, in addition to an overall increase in contained tonnes for the Project. More than USD$116M has been spent to-date at Palmer, with NI-43-101 mineral resources defined at the Palmer and AG deposits
</t>
    </r>
    <r>
      <rPr>
        <b/>
        <sz val="11"/>
        <color theme="1"/>
        <rFont val="Calibri"/>
        <family val="2"/>
      </rPr>
      <t xml:space="preserve">Developer Description: Was There a Change in Ownership during Project?: </t>
    </r>
    <r>
      <rPr>
        <sz val="11"/>
        <color theme="1"/>
        <rFont val="Calibri"/>
        <family val="2"/>
      </rPr>
      <t xml:space="preserve">Pursuant to the terms of the Purchase Agreement executed November 15th, 2024, Constantine North Inc., a wholly-owned subsidiary of American Pacific, has acquired Dowa's interest in Constantine Mining LLC (the "Dowa Interest") and Dowa has paid American Pacific USD$10,000,000 in exchange for providing an affiliate of Dowa with an option to acquire up to 50% of the zinc concentrate produced for the initial year of production and each subsequent year of production at the Project and the provision of certain indemnities in the Purchase Agreement. With the close of the acquisition of the Dowa Interest, American Pacific has a consolidated 100%-interest in the Project. </t>
    </r>
  </si>
  <si>
    <t>Panther</t>
  </si>
  <si>
    <r>
      <rPr>
        <b/>
        <sz val="11"/>
        <color theme="1"/>
        <rFont val="Calibri"/>
        <family val="2"/>
      </rPr>
      <t xml:space="preserve">Project Description: Existing Mine: </t>
    </r>
    <r>
      <rPr>
        <sz val="11"/>
        <color theme="1"/>
        <rFont val="Calibri"/>
        <family val="2"/>
      </rPr>
      <t xml:space="preserve">Has undergone small-scale past production at the historic Sweet Repose Mine.
</t>
    </r>
    <r>
      <rPr>
        <b/>
        <sz val="11"/>
        <color theme="1"/>
        <rFont val="Calibri"/>
        <family val="2"/>
      </rPr>
      <t>Project Description: Status of Project:</t>
    </r>
    <r>
      <rPr>
        <sz val="11"/>
        <color theme="1"/>
        <rFont val="Calibri"/>
        <family val="2"/>
      </rPr>
      <t xml:space="preserve"> Koba is planning additional geochemical sampling, mapping and geophysical surveying to help delineate targets for drilling.; The project was actively explored between 2017 and 2018, when ePower Metals Inc (now Prime Mining Corp) collected a total of 1,534 soils samples, 53 surface rock samples and 29 underground samples; Koba Resources reports in its FY 2024 Annual Report that no significant work was done at its cobalt projects in FY 2024.
</t>
    </r>
    <r>
      <rPr>
        <b/>
        <sz val="11"/>
        <color theme="1"/>
        <rFont val="Calibri"/>
        <family val="2"/>
      </rPr>
      <t xml:space="preserve">Location: Additional Location Information:  </t>
    </r>
    <r>
      <rPr>
        <sz val="11"/>
        <color theme="1"/>
        <rFont val="Calibri"/>
        <family val="2"/>
      </rPr>
      <t xml:space="preserve">Located 19 miles west of the town of Salmon (pop 3,295, 2023), central Idaho; 2 miles east of Jervois’ Idaho Cobalt Operation.
</t>
    </r>
    <r>
      <rPr>
        <b/>
        <sz val="11"/>
        <color theme="1"/>
        <rFont val="Calibri"/>
        <family val="2"/>
      </rPr>
      <t>Location: Mining District: </t>
    </r>
    <r>
      <rPr>
        <sz val="11"/>
        <color theme="1"/>
        <rFont val="Calibri"/>
        <family val="2"/>
      </rPr>
      <t xml:space="preserve">Blackbird District (2 miles to the northeast of the historic Blackbird Cobalt Mine).
</t>
    </r>
    <r>
      <rPr>
        <b/>
        <sz val="11"/>
        <color theme="1"/>
        <rFont val="Calibri"/>
        <family val="2"/>
      </rPr>
      <t xml:space="preserve">Developer Description: Lead Developer: </t>
    </r>
    <r>
      <rPr>
        <sz val="11"/>
        <color theme="1"/>
        <rFont val="Calibri"/>
        <family val="2"/>
      </rPr>
      <t xml:space="preserve">Koba Resources Limited acquired the site in November of 2021. 
</t>
    </r>
    <r>
      <rPr>
        <b/>
        <sz val="11"/>
        <color theme="1"/>
        <rFont val="Calibri"/>
        <family val="2"/>
      </rPr>
      <t>Developer Description: Was There Change in Ownership during Project?:</t>
    </r>
    <r>
      <rPr>
        <sz val="11"/>
        <color theme="1"/>
        <rFont val="Calibri"/>
        <family val="2"/>
      </rPr>
      <t xml:space="preserve"> Koba Resources was created when New World Resources (ASX: NWC) decided to spin-out its cobalt-copper assets.
</t>
    </r>
    <r>
      <rPr>
        <b/>
        <sz val="11"/>
        <color theme="1"/>
        <rFont val="Calibri"/>
        <family val="2"/>
      </rPr>
      <t xml:space="preserve">Land Ownership: Type of Land: </t>
    </r>
    <r>
      <rPr>
        <sz val="11"/>
        <color theme="1"/>
        <rFont val="Calibri"/>
        <family val="2"/>
      </rPr>
      <t xml:space="preserve">870 hectare of public land; part of Salmon National Forest (USFS).  </t>
    </r>
  </si>
  <si>
    <t xml:space="preserve">Pea Ridge </t>
  </si>
  <si>
    <r>
      <rPr>
        <b/>
        <sz val="11"/>
        <color theme="1"/>
        <rFont val="Calibri"/>
        <family val="2"/>
      </rPr>
      <t xml:space="preserve">Project Description: Existing Mine: </t>
    </r>
    <r>
      <rPr>
        <sz val="11"/>
        <color theme="1"/>
        <rFont val="Calibri"/>
        <family val="2"/>
      </rPr>
      <t xml:space="preserve">Produced about 5 million pounds of copper (underground) from 1909 to 1975, inactive since.
</t>
    </r>
    <r>
      <rPr>
        <b/>
        <sz val="11"/>
        <color theme="1"/>
        <rFont val="Calibri"/>
        <family val="2"/>
      </rPr>
      <t>Project Description: Status of Project: </t>
    </r>
    <r>
      <rPr>
        <sz val="11"/>
        <color theme="1"/>
        <rFont val="Calibri"/>
        <family val="2"/>
      </rPr>
      <t xml:space="preserve">The developer did not announce activity in 2024.
</t>
    </r>
    <r>
      <rPr>
        <b/>
        <sz val="11"/>
        <color theme="1"/>
        <rFont val="Calibri"/>
        <family val="2"/>
      </rPr>
      <t>Location: Additional Location Information: </t>
    </r>
    <r>
      <rPr>
        <sz val="11"/>
        <color theme="1"/>
        <rFont val="Calibri"/>
        <family val="2"/>
      </rPr>
      <t xml:space="preserve">Located at the north end of the Lemhi Range, is near Baker (pop 68, 2020), central Idaho at the border with Montana; near entrance to Great Basin National Park; recent exploration work was 7 miles southeast of Salmon (3,295, 2023), Idaho.
</t>
    </r>
    <r>
      <rPr>
        <b/>
        <sz val="11"/>
        <color theme="1"/>
        <rFont val="Calibri"/>
        <family val="2"/>
      </rPr>
      <t xml:space="preserve">Land Ownership: Type of Land: </t>
    </r>
    <r>
      <rPr>
        <sz val="11"/>
        <color theme="1"/>
        <rFont val="Calibri"/>
        <family val="2"/>
      </rPr>
      <t>Claims within Salmon National Forest</t>
    </r>
  </si>
  <si>
    <t>Rhyolite Ridge</t>
  </si>
  <si>
    <t>Roundtop</t>
  </si>
  <si>
    <t xml:space="preserve">Tamarack </t>
  </si>
  <si>
    <r>
      <rPr>
        <b/>
        <sz val="11"/>
        <color theme="1"/>
        <rFont val="Calibri"/>
        <family val="2"/>
      </rPr>
      <t xml:space="preserve">Location: Additional Location Information: </t>
    </r>
    <r>
      <rPr>
        <sz val="11"/>
        <color theme="1"/>
        <rFont val="Calibri"/>
        <family val="2"/>
      </rPr>
      <t xml:space="preserve">Approximately 25-30 miles south of Casa Grande, near the village of North Komelik, Pinal County, southwestern Arizona.
</t>
    </r>
    <r>
      <rPr>
        <b/>
        <sz val="11"/>
        <color theme="1"/>
        <rFont val="Calibri"/>
        <family val="2"/>
      </rPr>
      <t>Land Ownership: Type of Land:</t>
    </r>
    <r>
      <rPr>
        <sz val="11"/>
        <color theme="1"/>
        <rFont val="Calibri"/>
        <family val="2"/>
      </rPr>
      <t xml:space="preserve"> Developer has 4,180 acres of land leased from the Bureau of Indian Affairs and the Tohono O’odham Nation.</t>
    </r>
  </si>
  <si>
    <r>
      <rPr>
        <b/>
        <sz val="11"/>
        <color theme="1"/>
        <rFont val="Calibri"/>
        <family val="2"/>
      </rPr>
      <t>Project Descriprtion: Status of Project:</t>
    </r>
    <r>
      <rPr>
        <sz val="11"/>
        <color theme="1"/>
        <rFont val="Calibri"/>
        <family val="2"/>
      </rPr>
      <t xml:space="preserve"> The developer plans a 2500m drill program to test the extensions of  high grade surface zones at depth.  In September 2022 USFS approved drilling 30 holes averaging 1,000 on 10 drilling pads along Torney Creek and Perreau Creek.
</t>
    </r>
    <r>
      <rPr>
        <b/>
        <sz val="11"/>
        <color theme="1"/>
        <rFont val="Calibri"/>
        <family val="2"/>
      </rPr>
      <t xml:space="preserve">Location: Additional Location Information: </t>
    </r>
    <r>
      <rPr>
        <sz val="11"/>
        <color theme="1"/>
        <rFont val="Calibri"/>
        <family val="2"/>
      </rPr>
      <t xml:space="preserve">Located approximately 10 miles southwest of Salmon (pop 6,274, 2022), Lemhi County, Idaho.
</t>
    </r>
    <r>
      <rPr>
        <b/>
        <sz val="11"/>
        <color theme="1"/>
        <rFont val="Calibri"/>
        <family val="2"/>
      </rPr>
      <t xml:space="preserve">Land Ownership: Type of Land: </t>
    </r>
    <r>
      <rPr>
        <sz val="11"/>
        <color theme="1"/>
        <rFont val="Calibri"/>
        <family val="2"/>
      </rPr>
      <t>Salmon-Challis Forest</t>
    </r>
  </si>
  <si>
    <t xml:space="preserve">Twin Metals </t>
  </si>
  <si>
    <r>
      <rPr>
        <b/>
        <sz val="11"/>
        <color theme="1"/>
        <rFont val="Calibri"/>
        <family val="2"/>
      </rPr>
      <t xml:space="preserve">Project Description: Project Name: </t>
    </r>
    <r>
      <rPr>
        <sz val="11"/>
        <color theme="1"/>
        <rFont val="Calibri"/>
        <family val="2"/>
      </rPr>
      <t xml:space="preserve">Yerington and MacArthur properties, which are part of the Company's Yerington Copper Project.
</t>
    </r>
    <r>
      <rPr>
        <b/>
        <sz val="11"/>
        <color theme="1"/>
        <rFont val="Calibri"/>
        <family val="2"/>
      </rPr>
      <t xml:space="preserve">Project Description: Mining Method: </t>
    </r>
    <r>
      <rPr>
        <sz val="11"/>
        <color theme="1"/>
        <rFont val="Calibri"/>
        <family val="2"/>
      </rPr>
      <t xml:space="preserve">The PEA indicates that the Yerington Copper Project holds potential for phased open pit mining. These pits would feed sulfide material to a dedicated Nuton™ (Nuton) Heap Leach Facility (HLF) equipped with a 17 Mtpa crushing and agglomerating system that employs conveyors for material stacking on the HLF. Additionally, oxide material would be placed on a separate HLF near the sulfide facility, involving run-of-mine (ROM) oxide from Yerington and the residuals composed of the W-3 and VLT stockpiles. Oxide material from MacArthur would undergo sizing, conveying, agglomeration and then stacking on the oxide HLF, facilitated by a 25 Mtpa system.  Nuton technologies comprise a proprietary suite of Rio Tinto-developed copper heap leaching technologies aimed to recover primary copper sulfides. Copper recoveries from Yerington sulfide materials demonstrate an increase from below 25% to 74% for the sample tests to date, with an acid consumption calculated at 32 lb/ton. At this point in time (January 2024), the testing of Nuton technology on Yerington sulfide materials is ongoing. Preliminary results are promising. 
</t>
    </r>
    <r>
      <rPr>
        <b/>
        <sz val="11"/>
        <color theme="1"/>
        <rFont val="Calibri"/>
        <family val="2"/>
      </rPr>
      <t xml:space="preserve">Project Description: Status of Project:  </t>
    </r>
    <r>
      <rPr>
        <sz val="11"/>
        <color theme="1"/>
        <rFont val="Calibri"/>
        <family val="2"/>
      </rPr>
      <t xml:space="preserve">The objective of the 2024 Yerington drilling program was to convert as much of the inferred resource as possible to the indicated resource classification so that it can be included in the prefeasibility study ("PFS"). The recently concluded drilling, together with the discovery of an additional 17 historic Anaconda holes that were not included in the January 2024 Preliminary Economic Assessment ("PEA"), are now being incorporated into an updated mineral resource as a key input into the PFS now in process.
</t>
    </r>
    <r>
      <rPr>
        <b/>
        <sz val="11"/>
        <color theme="1"/>
        <rFont val="Calibri"/>
        <family val="2"/>
      </rPr>
      <t>Location: Additional Location Information: </t>
    </r>
    <r>
      <rPr>
        <sz val="11"/>
        <color theme="1"/>
        <rFont val="Calibri"/>
        <family val="2"/>
      </rPr>
      <t xml:space="preserve">Near Yerington (3,048, 2020) and Weed Heights, Lyon County,  Nevada, Mason Valley, about 70 miles southeast of Reno.
</t>
    </r>
    <r>
      <rPr>
        <b/>
        <sz val="11"/>
        <color theme="1"/>
        <rFont val="Calibri"/>
        <family val="2"/>
      </rPr>
      <t xml:space="preserve">Development Plans: Processing Plan in US: </t>
    </r>
    <r>
      <rPr>
        <sz val="11"/>
        <color theme="1"/>
        <rFont val="Calibri"/>
        <family val="2"/>
      </rPr>
      <t xml:space="preserve">According to Lion Copper, the leaching process using Nuton’s methods can deliver recovery rates of 74% and eliminate the need for a concentrator, tailings impoundment, and resource-intense smelter operations.  The SXEW facilities will be located near the Nuton HLF. This technology is well-established and has a proven track record in industrial applications, resulting in the production of LME Grade A copper cathode using accepted industry reagents. The engineering and design of the SXEW facility is modular in nature, enabling shorter construction timelines and the flexibility to expand as necessary during the ramp- up phase. The initial SXEW production capacity is set at 70 million pounds per annum of copper cathode, with the capability to increase to 140 million pounds per annum through the addition of supplementary SXEW modules. Project Description: </t>
    </r>
  </si>
  <si>
    <r>
      <rPr>
        <b/>
        <sz val="11"/>
        <color theme="1"/>
        <rFont val="Calibri"/>
        <family val="2"/>
      </rPr>
      <t xml:space="preserve">Project Description: Mining Method: </t>
    </r>
    <r>
      <rPr>
        <sz val="11"/>
        <color theme="1"/>
        <rFont val="Calibri"/>
        <family val="2"/>
      </rPr>
      <t xml:space="preserve">It is recommended that mining methods be developed for the Zeus mineralized material, including an evaluation of use of coal-seam style scrapers to minimize mining costs. A mine schedule for the high-grade core of the deposit should be developed as the basis for the PEA mine plan. All of the lithium mineralization is hosted within clays hosted by the Esmeralda Formation.
</t>
    </r>
    <r>
      <rPr>
        <b/>
        <sz val="11"/>
        <color theme="1"/>
        <rFont val="Calibri"/>
        <family val="2"/>
      </rPr>
      <t>Project Description: Status of Project: </t>
    </r>
    <r>
      <rPr>
        <sz val="11"/>
        <color theme="1"/>
        <rFont val="Calibri"/>
        <family val="2"/>
      </rPr>
      <t xml:space="preserve">The developer has completed a total of 92 drillholes in seven phases of drilling between 2017 to 2024. The updated 2023-2024 Mineral Resource statement for the Zeus project includes the addition of 10 drillholes and their associated assay data from the Phase VII drilling program, comprehensive geological work including detailed geological mapping, review of historic drillholes and logs, review of literature regarding analogous deposits, the development of an ore deposit model and geological model to synthesize that work, and the collection of 167 density measurements as well as 32 tests of moisture content. 
</t>
    </r>
    <r>
      <rPr>
        <b/>
        <sz val="11"/>
        <color theme="1"/>
        <rFont val="Calibri"/>
        <family val="2"/>
      </rPr>
      <t xml:space="preserve">Project Description: Regulatory Challenges: </t>
    </r>
    <r>
      <rPr>
        <sz val="11"/>
        <color theme="1"/>
        <rFont val="Calibri"/>
        <family val="2"/>
      </rPr>
      <t xml:space="preserve">In early February 2024, the developer received notification from the state that the County of Esmeralda had filed a protest against the Company’s water rights applications. The developer is engaging with the County and its advisors to resolve the concerns.  
</t>
    </r>
    <r>
      <rPr>
        <b/>
        <sz val="11"/>
        <color theme="1"/>
        <rFont val="Calibri"/>
        <family val="2"/>
      </rPr>
      <t xml:space="preserve">Location: Additional Location Information: </t>
    </r>
    <r>
      <rPr>
        <sz val="11"/>
        <color theme="1"/>
        <rFont val="Calibri"/>
        <family val="2"/>
      </rPr>
      <t xml:space="preserve">Halfway between Vegas and Reno, 220 miles southeast of Reno, accessed via Silver Peak, which is 7 miles west or from Tonopah, NV (pop 2,179, 2020), which is located 27 miles northeast; Esmeralda County, Nevada; perimeter of Zeus is as close as 1 mile from Albemarle’s Silver Peak. 
</t>
    </r>
    <r>
      <rPr>
        <b/>
        <sz val="11"/>
        <color theme="1"/>
        <rFont val="Calibri"/>
        <family val="2"/>
      </rPr>
      <t xml:space="preserve">Developer Description: Lead Developer: </t>
    </r>
    <r>
      <rPr>
        <sz val="11"/>
        <color theme="1"/>
        <rFont val="Calibri"/>
        <family val="2"/>
      </rPr>
      <t xml:space="preserve">The company was formerly known as Noram Ventures Inc. and changed its name to Noram Lithium Corp. in July 2021. The company was incorporated in 2010 and is headquartered in Vancouver, Canada
</t>
    </r>
    <r>
      <rPr>
        <b/>
        <sz val="11"/>
        <color theme="1"/>
        <rFont val="Calibri"/>
        <family val="2"/>
      </rPr>
      <t xml:space="preserve">Processing Plan: Processing Done by the Same Lead Developer/Parent Company: </t>
    </r>
    <r>
      <rPr>
        <sz val="11"/>
        <color theme="1"/>
        <rFont val="Calibri"/>
        <family val="2"/>
      </rPr>
      <t xml:space="preserve">Multi-step, on-site processing into LCE is planned.  
</t>
    </r>
    <r>
      <rPr>
        <b/>
        <sz val="11"/>
        <color theme="1"/>
        <rFont val="Calibri"/>
        <family val="2"/>
      </rPr>
      <t xml:space="preserve">Land Ownership: Type of Land: </t>
    </r>
    <r>
      <rPr>
        <sz val="11"/>
        <color theme="1"/>
        <rFont val="Calibri"/>
        <family val="2"/>
      </rPr>
      <t>Developer acquired rights to the area in 2016. 146 placer claims and 136 lode claims. The land package covers 1,133 hectares (2,800 acres).</t>
    </r>
  </si>
  <si>
    <r>
      <rPr>
        <b/>
        <sz val="11"/>
        <color theme="1"/>
        <rFont val="Calibri"/>
        <family val="2"/>
      </rPr>
      <t xml:space="preserve">Project Description: Project Name: </t>
    </r>
    <r>
      <rPr>
        <sz val="11"/>
        <color theme="1"/>
        <rFont val="Calibri"/>
        <family val="2"/>
      </rPr>
      <t xml:space="preserve">The BamaStar Project site was previously home to a mine known as the Ceylon Graphite Project, which operated during World War I and World War II.
</t>
    </r>
    <r>
      <rPr>
        <b/>
        <sz val="11"/>
        <color theme="1"/>
        <rFont val="Calibri"/>
        <family val="2"/>
      </rPr>
      <t xml:space="preserve">Project Description: Status of Project: </t>
    </r>
    <r>
      <rPr>
        <sz val="11"/>
        <color theme="1"/>
        <rFont val="Calibri"/>
        <family val="2"/>
      </rPr>
      <t xml:space="preserve">Plan to be operational by 2027; In November 2024, the developer filed positive results and favorable economics in its Preliminary Economic Assessment; the assessment includes a graphite mine, a concentrate processing facility and a value-add plant for upgrading and transforming the graphite concentrates precursor. 
</t>
    </r>
    <r>
      <rPr>
        <b/>
        <sz val="11"/>
        <color theme="1"/>
        <rFont val="Calibri"/>
        <family val="2"/>
      </rPr>
      <t xml:space="preserve">Location: Additional Location Information:  </t>
    </r>
    <r>
      <rPr>
        <sz val="11"/>
        <color theme="1"/>
        <rFont val="Calibri"/>
        <family val="2"/>
      </rPr>
      <t xml:space="preserve">East-central Alabama near Alexander City (pop 14,843, 2020), at the northeast end of the 60-mile Alabama Graphite Belt.  Located 8 miles northeast of Sylacauga (pop 12,578, 2020), 48 miles from Birmingham, and about 225 miles northeast of the major Gulf-of-Mexico port of Mobile, Alabama. 
</t>
    </r>
    <r>
      <rPr>
        <b/>
        <sz val="11"/>
        <color theme="1"/>
        <rFont val="Calibri"/>
        <family val="2"/>
      </rPr>
      <t>Developer Description: Was There Change in Ownership during Project?: </t>
    </r>
    <r>
      <rPr>
        <sz val="11"/>
        <color theme="1"/>
        <rFont val="Calibri"/>
        <family val="2"/>
      </rPr>
      <t xml:space="preserve"> Westwater is focused on battery-grade natural graphite after its acquisition of Alabama Graphite Corp. (AGC) in April 2018. AGC acquired the Project in 2012 based on the geological setting. On April 23, 2018, Westwater acquired a 100% interest in AGC as part of a strategic decision to refocus the Company to supply battery manufacturers with low-cost, high-quality, and high-margin natural graphite products.
</t>
    </r>
    <r>
      <rPr>
        <b/>
        <sz val="11"/>
        <color theme="1"/>
        <rFont val="Calibri"/>
        <family val="2"/>
      </rPr>
      <t xml:space="preserve">Development Plans: Planned Production Capacity: </t>
    </r>
    <r>
      <rPr>
        <sz val="11"/>
        <color theme="1"/>
        <rFont val="Calibri"/>
        <family val="2"/>
      </rPr>
      <t xml:space="preserve">The Coosa graphite concentrator facilities are designed to process 90,000 tonnes per year of flotation concentrate product grading 95% Cg.
</t>
    </r>
    <r>
      <rPr>
        <b/>
        <sz val="11"/>
        <color theme="1"/>
        <rFont val="Calibri"/>
        <family val="2"/>
      </rPr>
      <t xml:space="preserve">Financial Support: Federal Agency: </t>
    </r>
    <r>
      <rPr>
        <sz val="11"/>
        <color theme="1"/>
        <rFont val="Calibri"/>
        <family val="2"/>
      </rPr>
      <t xml:space="preserve">DOD: $3.2 million for feasibility study                                                                                                                                                                                               </t>
    </r>
  </si>
  <si>
    <r>
      <rPr>
        <b/>
        <sz val="11"/>
        <color theme="1"/>
        <rFont val="Calibri"/>
        <family val="2"/>
      </rPr>
      <t xml:space="preserve">Project Description: Status of Project: </t>
    </r>
    <r>
      <rPr>
        <sz val="11"/>
        <color theme="1"/>
        <rFont val="Calibri"/>
        <family val="2"/>
      </rPr>
      <t xml:space="preserve">Plan is for mine to open in 2027, processing facility sooner (broke ground in 2022).  
</t>
    </r>
    <r>
      <rPr>
        <b/>
        <sz val="11"/>
        <color theme="1"/>
        <rFont val="Calibri"/>
        <family val="2"/>
      </rPr>
      <t xml:space="preserve">Location: Additional Location Information: </t>
    </r>
    <r>
      <rPr>
        <sz val="11"/>
        <color theme="1"/>
        <rFont val="Calibri"/>
        <family val="2"/>
      </rPr>
      <t xml:space="preserve">Located north of Montgomery and 50 miles south, southeast of Birmingham, and 23 miles south, southwest  of Sylacauga (pop 12,578, 2020), east-central Alabama. Mine site is in western Coosa County, adjacent to Talladega County.  A 37-mile swath of land known as the Graphite Belt runs entirely across Coosa County and into adjacent Alabama counties.
</t>
    </r>
    <r>
      <rPr>
        <b/>
        <sz val="11"/>
        <color theme="1"/>
        <rFont val="Calibri"/>
        <family val="2"/>
      </rPr>
      <t>Development Plans: Processing Plan in US: </t>
    </r>
    <r>
      <rPr>
        <sz val="11"/>
        <color theme="1"/>
        <rFont val="Calibri"/>
        <family val="2"/>
      </rPr>
      <t xml:space="preserve">New site in Coosa County.
</t>
    </r>
    <r>
      <rPr>
        <b/>
        <sz val="11"/>
        <color theme="1"/>
        <rFont val="Calibri"/>
        <family val="2"/>
      </rPr>
      <t xml:space="preserve">Financial Support: Federal Agency: </t>
    </r>
    <r>
      <rPr>
        <sz val="11"/>
        <color theme="1"/>
        <rFont val="Calibri"/>
        <family val="2"/>
      </rPr>
      <t xml:space="preserve">$3.2 million in DOD funding of feasibility study.  </t>
    </r>
  </si>
  <si>
    <r>
      <rPr>
        <b/>
        <sz val="11"/>
        <color theme="1"/>
        <rFont val="Calibri"/>
        <family val="2"/>
      </rPr>
      <t xml:space="preserve">Project Description: Project Name: </t>
    </r>
    <r>
      <rPr>
        <sz val="11"/>
        <color theme="1"/>
        <rFont val="Calibri"/>
        <family val="2"/>
      </rPr>
      <t xml:space="preserve">Also called Phase 1A Project. The LANXESS Project refers to a suite of contemplated staged expansion projects relating to the LANXESS South, Central, and West Brine Production Units. This Commercial Lithium Extraction Plant Project at
LANXESS South Plant (Phase 1A or Project) is the first stage of development of the LANXESS Project.
</t>
    </r>
    <r>
      <rPr>
        <b/>
        <sz val="11"/>
        <color theme="1"/>
        <rFont val="Calibri"/>
        <family val="2"/>
      </rPr>
      <t xml:space="preserve">Project Description: Mining Method: </t>
    </r>
    <r>
      <rPr>
        <sz val="11"/>
        <color theme="1"/>
        <rFont val="Calibri"/>
        <family val="2"/>
      </rPr>
      <t xml:space="preserve">The developer has selected the Lithium Selective Sorption (LSS) process as the Direct Lithium Extraction (DLE) process for the project. LSS is a Koch Technology Solutions, LLC (KTS) proprietary technology to extract lithium ions from pre-treated Smackover brine.
</t>
    </r>
    <r>
      <rPr>
        <b/>
        <sz val="11"/>
        <color theme="1"/>
        <rFont val="Calibri"/>
        <family val="2"/>
      </rPr>
      <t>Project Description: Status of Project: </t>
    </r>
    <r>
      <rPr>
        <sz val="11"/>
        <color theme="1"/>
        <rFont val="Calibri"/>
        <family val="2"/>
      </rPr>
      <t xml:space="preserve">This brownfield development aims to achieve significant commercial lithium production by processing tail brine from the existing bromine operations at the LANXESS South Plant in Union County, Arkansas. The developer commissioned a demonstration plant at LANXESS’ South Plant facility in May 2020 and the LSS DLE process has been in operation at the Demonstration plant since October 2022.The future plan features a commercial-scale Direct Lithium Extraction (DLE) and lithium carbonate conversion facility by 2026. The feasibility study was completed in 2023.; In 2025, this project was added by the Trump administration to the FAST-41 dashboard to accelerate its permitting. 
</t>
    </r>
    <r>
      <rPr>
        <b/>
        <sz val="11"/>
        <color theme="1"/>
        <rFont val="Calibri"/>
        <family val="2"/>
      </rPr>
      <t>Location: Additional Location Information: </t>
    </r>
    <r>
      <rPr>
        <sz val="11"/>
        <color theme="1"/>
        <rFont val="Calibri"/>
        <family val="2"/>
      </rPr>
      <t xml:space="preserve">Located 8 miles southwest of El Dorado, a city in and the county seat of Union County, on the southern border of Arkansas. The Smackover Formation is a limestone aquifer that spans across several states in the southern United States, including Texas, Arkansas, Louisiana, Mississippi, and Alabama. It includes a broad area of oil and gas production and a region of active production of bromine. While the area is now mostly emptied of fossil fuels, it is filled with a brine that contains lithium, perhaps the highest lithium concentrations in continental brines in the United States. 
</t>
    </r>
    <r>
      <rPr>
        <b/>
        <sz val="11"/>
        <color theme="1"/>
        <rFont val="Calibri"/>
        <family val="2"/>
      </rPr>
      <t xml:space="preserve">Development Plans: Processing Plan in US: </t>
    </r>
    <r>
      <rPr>
        <sz val="11"/>
        <color theme="1"/>
        <rFont val="Calibri"/>
        <family val="2"/>
      </rPr>
      <t>The developer</t>
    </r>
    <r>
      <rPr>
        <b/>
        <sz val="11"/>
        <color theme="1"/>
        <rFont val="Calibri"/>
        <family val="2"/>
      </rPr>
      <t xml:space="preserve"> </t>
    </r>
    <r>
      <rPr>
        <sz val="11"/>
        <color theme="1"/>
        <rFont val="Calibri"/>
        <family val="2"/>
      </rPr>
      <t xml:space="preserve">is looking into constructing a facility to process Li into Lithium Carbonate at the El Dorado facility.
</t>
    </r>
    <r>
      <rPr>
        <b/>
        <sz val="11"/>
        <color theme="1"/>
        <rFont val="Calibri"/>
        <family val="2"/>
      </rPr>
      <t xml:space="preserve">Financial Support: Federal Agency: </t>
    </r>
    <r>
      <rPr>
        <sz val="11"/>
        <color theme="1"/>
        <rFont val="Calibri"/>
        <family val="2"/>
      </rPr>
      <t xml:space="preserve">January 2025 DOE grant ($225 M) to Standard Lithium for construction of DLE facility in Arkansas (Smackover)
</t>
    </r>
    <r>
      <rPr>
        <b/>
        <sz val="11"/>
        <color theme="1"/>
        <rFont val="Calibri"/>
        <family val="2"/>
      </rPr>
      <t xml:space="preserve">Land Ownership: Type of Land: </t>
    </r>
    <r>
      <rPr>
        <sz val="11"/>
        <color theme="1"/>
        <rFont val="Calibri"/>
        <family val="2"/>
      </rPr>
      <t xml:space="preserve">LANXESS, a specialty chemicals company, has exclusive brine extraction rights for 149,442 acres which is contained within three brine production units, known as the South, Central, and West Brine Units.                                                                                                                                                                                                                                                                                                                                                </t>
    </r>
  </si>
  <si>
    <r>
      <rPr>
        <b/>
        <sz val="11"/>
        <color theme="1"/>
        <rFont val="Calibri"/>
        <family val="2"/>
      </rPr>
      <t xml:space="preserve">Project Description: Mining Method: </t>
    </r>
    <r>
      <rPr>
        <sz val="11"/>
        <color theme="1"/>
        <rFont val="Calibri"/>
        <family val="2"/>
      </rPr>
      <t xml:space="preserve">The developer will use ILiAD technology (developed by company) to separate lithium into useable form. The technology has been piloted with various brine resources across the United States and internationally, including in Utah, Texas, and Nevada, in addition to onsite in California. 
</t>
    </r>
    <r>
      <rPr>
        <b/>
        <sz val="11"/>
        <color theme="1"/>
        <rFont val="Calibri"/>
        <family val="2"/>
      </rPr>
      <t xml:space="preserve">Project Description: Co-Porducing Materials: </t>
    </r>
    <r>
      <rPr>
        <sz val="11"/>
        <color theme="1"/>
        <rFont val="Calibri"/>
        <family val="2"/>
      </rPr>
      <t xml:space="preserve">The brine features additional recoverable critical minerals supporting America’s industrial base, including zinc and manganese, which ATLiS expects to extract and commercialize.   
</t>
    </r>
    <r>
      <rPr>
        <b/>
        <sz val="11"/>
        <color theme="1"/>
        <rFont val="Calibri"/>
        <family val="2"/>
      </rPr>
      <t xml:space="preserve">Project Description: Status of Project: </t>
    </r>
    <r>
      <rPr>
        <sz val="11"/>
        <color theme="1"/>
        <rFont val="Calibri"/>
        <family val="2"/>
      </rPr>
      <t xml:space="preserve">The Imperial County Planning Commission has approved all aspects of the Project and the developer is working to secure the necessary financial support.  
</t>
    </r>
    <r>
      <rPr>
        <b/>
        <sz val="11"/>
        <color theme="1"/>
        <rFont val="Calibri"/>
        <family val="2"/>
      </rPr>
      <t>Location: Additional Location Information: </t>
    </r>
    <r>
      <rPr>
        <sz val="11"/>
        <color theme="1"/>
        <rFont val="Calibri"/>
        <family val="2"/>
      </rPr>
      <t xml:space="preserve">The nearest town Calipatria (pop 6,515, 2020), is about 23 miles from El Centro (pop 44,432, 2020), which is the county seat of Imperial County in southeastern California; over 100 miles east of San Diego. The Salton Sea is a shallow, landlocked, highly saline endorheic lake in Riverside and Imperial counties at the southern end of California. It lies on the San Andreas Fault within the Salton Trough, which stretches to the Gulf of California in Mexico.
</t>
    </r>
    <r>
      <rPr>
        <b/>
        <sz val="11"/>
        <color theme="1"/>
        <rFont val="Calibri"/>
        <family val="2"/>
      </rPr>
      <t xml:space="preserve">Development Plans: Processing Plan in US: </t>
    </r>
    <r>
      <rPr>
        <sz val="11"/>
        <color theme="1"/>
        <rFont val="Calibri"/>
        <family val="2"/>
      </rPr>
      <t xml:space="preserve">The facility will be sited next to an existing geothermal plant, which will supply the lithium-rich brine from the subsurface geothermal field located over one mile underground. After impurities are removed from the brine, the lithium will be separated out using the ILiAD™ DLE technology. 
</t>
    </r>
    <r>
      <rPr>
        <b/>
        <sz val="11"/>
        <color theme="1"/>
        <rFont val="Calibri"/>
        <family val="2"/>
      </rPr>
      <t xml:space="preserve">Financial Support: Federal Agency: </t>
    </r>
    <r>
      <rPr>
        <sz val="11"/>
        <color theme="1"/>
        <rFont val="Calibri"/>
        <family val="2"/>
      </rPr>
      <t xml:space="preserve">In January 2025, DOE announced a direct loan of up to $1.36 billion to finance the construction, equipping, and operation of the facility in Imperial County, California, to produce lithium hydroxide from geothermal brine. </t>
    </r>
  </si>
  <si>
    <r>
      <rPr>
        <b/>
        <sz val="11"/>
        <color theme="1"/>
        <rFont val="Calibri"/>
        <family val="2"/>
      </rPr>
      <t xml:space="preserve">Project Description: Mining Method: </t>
    </r>
    <r>
      <rPr>
        <sz val="11"/>
        <color theme="1"/>
        <rFont val="Calibri"/>
        <family val="2"/>
      </rPr>
      <t xml:space="preserve">Direct lithium extraction- ion-exchange technology.  
</t>
    </r>
    <r>
      <rPr>
        <b/>
        <sz val="11"/>
        <color theme="1"/>
        <rFont val="Calibri"/>
        <family val="2"/>
      </rPr>
      <t>Project Description: Status of Project: </t>
    </r>
    <r>
      <rPr>
        <sz val="11"/>
        <color theme="1"/>
        <rFont val="Calibri"/>
        <family val="2"/>
      </rPr>
      <t xml:space="preserve">The project is fully permitted and in January 2024 the developer broke ground on a commercial-scale facility to produce both renewable power and lithium hydroxide. 
</t>
    </r>
    <r>
      <rPr>
        <b/>
        <sz val="11"/>
        <color theme="1"/>
        <rFont val="Calibri"/>
        <family val="2"/>
      </rPr>
      <t>Location: Additional Location Information: </t>
    </r>
    <r>
      <rPr>
        <sz val="11"/>
        <color theme="1"/>
        <rFont val="Calibri"/>
        <family val="2"/>
      </rPr>
      <t xml:space="preserve">The project’s plants and facilities will be located on undeveloped land owned by the Imperial Irrigation District, which is about 3.6 miles southwest of Niland on 16 parcels. The Salton Sea is a shallow, landlocked, highly saline endorheic lake in Riverside and Imperial counties at the southern end of California. It lies on the San Andreas Fault within the Salton Trough, which stretches to the Gulf of California in Mexico.
</t>
    </r>
    <r>
      <rPr>
        <b/>
        <sz val="11"/>
        <color theme="1"/>
        <rFont val="Calibri"/>
        <family val="2"/>
      </rPr>
      <t>Developer Description: Lead Developer:</t>
    </r>
    <r>
      <rPr>
        <sz val="11"/>
        <color theme="1"/>
        <rFont val="Calibri"/>
        <family val="2"/>
      </rPr>
      <t xml:space="preserve"> Controlled Thermal Resources Holdings, Inc. (CTR) is a U.S. company specializing in lithium and battery material products and renewable energy with projects in advanced development in the United States.  The company, which redomiciled to the United States in 2022, was established in 2013 in Australia but now has headquarters in Imperial County, California. Additional offices are located in Brisbane, Australia, and in Houston, Texas. 
</t>
    </r>
    <r>
      <rPr>
        <b/>
        <sz val="11"/>
        <color theme="1"/>
        <rFont val="Calibri"/>
        <family val="2"/>
      </rPr>
      <t xml:space="preserve">Financial Support: Public Supply Agreement w/ an Automaker or Battery/Component Producer: </t>
    </r>
    <r>
      <rPr>
        <sz val="11"/>
        <color theme="1"/>
        <rFont val="Calibri"/>
        <family val="2"/>
      </rPr>
      <t xml:space="preserve">The developer has offtake agreements with General Motors, Stellantis and Statevolt (US battery manufacturer). 
</t>
    </r>
    <r>
      <rPr>
        <b/>
        <sz val="11"/>
        <color theme="1"/>
        <rFont val="Calibri"/>
        <family val="2"/>
      </rPr>
      <t xml:space="preserve">Litigation: Court Rulings Issued: </t>
    </r>
    <r>
      <rPr>
        <sz val="11"/>
        <color theme="1"/>
        <rFont val="Calibri"/>
        <family val="2"/>
      </rPr>
      <t xml:space="preserve">A California Superior Court judge (lowest level) has ruled against environmental and tribal groups, allowing the CTR DLE project at the Salton Sea to proceed. The judge ruled that the County did analyze the environmental impacts and did reach out to the tribes for their views. The plantiffs have appealed to a higher state court (2025). </t>
    </r>
  </si>
  <si>
    <r>
      <rPr>
        <b/>
        <sz val="11"/>
        <color theme="1"/>
        <rFont val="Calibri"/>
        <family val="2"/>
      </rPr>
      <t xml:space="preserve">Location: Additional Location Information: </t>
    </r>
    <r>
      <rPr>
        <sz val="11"/>
        <color theme="1"/>
        <rFont val="Calibri"/>
        <family val="2"/>
      </rPr>
      <t xml:space="preserve">Upper Peninsula, Michigan.  The Sawyer Camp is located approximately 38 miles to the south of the active Eagle Mine (nickel), which is owned by Lundin Mining Corporation 
</t>
    </r>
    <r>
      <rPr>
        <b/>
        <sz val="11"/>
        <color theme="1"/>
        <rFont val="Calibri"/>
        <family val="2"/>
      </rPr>
      <t>Land Ownership: Type of Land:</t>
    </r>
    <r>
      <rPr>
        <sz val="11"/>
        <color theme="1"/>
        <rFont val="Calibri"/>
        <family val="2"/>
      </rPr>
      <t xml:space="preserve">  1,840 acres of State and private mineral rights. </t>
    </r>
  </si>
  <si>
    <r>
      <rPr>
        <b/>
        <sz val="11"/>
        <color theme="1"/>
        <rFont val="Calibri"/>
        <family val="2"/>
      </rPr>
      <t xml:space="preserve">Project Description: Mining Method: </t>
    </r>
    <r>
      <rPr>
        <sz val="11"/>
        <color theme="1"/>
        <rFont val="Calibri"/>
        <family val="2"/>
      </rPr>
      <t xml:space="preserve">The developer will use conventional oil and gas drilling methods to access lithium-rich saltwater from reservoirs about 10,000 ft underground, and then apply direct lithium extraction (DLE) technology to separate lithium from the saltwater.  The remaining saltwater will be reinjected into the underground reservoirs. 
</t>
    </r>
    <r>
      <rPr>
        <b/>
        <sz val="11"/>
        <color theme="1"/>
        <rFont val="Calibri"/>
        <family val="2"/>
      </rPr>
      <t>Project Description: Status of Project: </t>
    </r>
    <r>
      <rPr>
        <sz val="11"/>
        <color theme="1"/>
        <rFont val="Calibri"/>
        <family val="2"/>
      </rPr>
      <t xml:space="preserve">The developer plans to begin production in 2027.  Development may be slowed by the State of Arkansas's slow pace in resolving the size of royalties.  
</t>
    </r>
    <r>
      <rPr>
        <b/>
        <sz val="11"/>
        <color theme="1"/>
        <rFont val="Calibri"/>
        <family val="2"/>
      </rPr>
      <t xml:space="preserve">Location: Additional Location Information: </t>
    </r>
    <r>
      <rPr>
        <sz val="11"/>
        <color theme="1"/>
        <rFont val="Calibri"/>
        <family val="2"/>
      </rPr>
      <t xml:space="preserve">Located approximately 15 miles west of the City of Magnolia in Lafayette County, southwestern Arkansas, United States. The SWA Property lies wholly within Lafayette and Columbia counties. The Smackover Formation is a limestone aquifer that spans across several states in the southern United States, including Texas, Arkansas, Louisiana, Mississippi, and Alabama. It includes a broad area of oil and gas production and a region of active production of bromine. While the area is now mostly emptied of fossil fuels, it is filled with a brine that contains lithium, perhaps the highest lithium concentrations in continental brines in the United States.  
</t>
    </r>
    <r>
      <rPr>
        <b/>
        <sz val="11"/>
        <color theme="1"/>
        <rFont val="Calibri"/>
        <family val="2"/>
      </rPr>
      <t xml:space="preserve">Developer Description: Was There Change in Ownership during Project?: </t>
    </r>
    <r>
      <rPr>
        <sz val="11"/>
        <color theme="1"/>
        <rFont val="Calibri"/>
        <family val="2"/>
      </rPr>
      <t xml:space="preserve">The developer acquired its Smackover rights from Galvanic Energy in early 2023. Building on the deal with Galvanic, the developer entered into a partnership with Tetra Technologies Inc. to jointly develop 6,100 lithium-rich Smackover formation acres.
</t>
    </r>
    <r>
      <rPr>
        <b/>
        <sz val="11"/>
        <color theme="1"/>
        <rFont val="Calibri"/>
        <family val="2"/>
      </rPr>
      <t>Development Plans: Processing Done by the Same Lead Developer/Parent Company: </t>
    </r>
    <r>
      <rPr>
        <sz val="11"/>
        <color theme="1"/>
        <rFont val="Calibri"/>
        <family val="2"/>
      </rPr>
      <t xml:space="preserve">Once lithium is extracted from brine, the developer will convert it onsite to battery-grade material.
</t>
    </r>
    <r>
      <rPr>
        <b/>
        <sz val="11"/>
        <color theme="1"/>
        <rFont val="Calibri"/>
        <family val="2"/>
      </rPr>
      <t>Land Ownership: Type of Land:</t>
    </r>
    <r>
      <rPr>
        <sz val="11"/>
        <color theme="1"/>
        <rFont val="Calibri"/>
        <family val="2"/>
      </rPr>
      <t xml:space="preserve"> The SWA Property is comprised of 489 land tracts containing 851 individual leases and eight salt water (brine) deeds that covers 27,066 net mineral acres (10,953 net mineral hectares). The proposed unitized SWA Property encompasses 36,839 gross mineral acres (14,908 gross mineral hectares) and forms the updated 2023 resource and project area. The leases and deeds are held by TETRA. TETRA began acquiring brine deeds and/or brine leases in 1992 and added additional brine leases in 1994, 2006 and 2017. Standard Lithium acquired the SWA Project brine production rights to lithium directly from TETRA through an option agreement providing that Standard Lithium makes annual payments.</t>
    </r>
  </si>
  <si>
    <r>
      <rPr>
        <b/>
        <sz val="11"/>
        <color theme="1"/>
        <rFont val="Calibri"/>
        <family val="2"/>
      </rPr>
      <t xml:space="preserve">Project Description: Status of Project: </t>
    </r>
    <r>
      <rPr>
        <sz val="11"/>
        <color theme="1"/>
        <rFont val="Calibri"/>
        <family val="2"/>
      </rPr>
      <t xml:space="preserve">Talon’s proposed nickel-copper-cobalt mine is currently being submitted for federal environmental review. Once approved, it could potentially enter production as soon as 2028.    
</t>
    </r>
    <r>
      <rPr>
        <b/>
        <sz val="11"/>
        <color theme="1"/>
        <rFont val="Calibri"/>
        <family val="2"/>
      </rPr>
      <t xml:space="preserve">Project Description: Regulatory Challenges: </t>
    </r>
    <r>
      <rPr>
        <sz val="11"/>
        <color theme="1"/>
        <rFont val="Calibri"/>
        <family val="2"/>
      </rPr>
      <t xml:space="preserve">In 2024, the developer submitted its seventh exploration plan, seeking agency approval. Concerns have been raised by both tribal and environmental groups. 
</t>
    </r>
    <r>
      <rPr>
        <b/>
        <sz val="11"/>
        <color theme="1"/>
        <rFont val="Calibri"/>
        <family val="2"/>
      </rPr>
      <t xml:space="preserve">Location: Additional Location Information: </t>
    </r>
    <r>
      <rPr>
        <sz val="11"/>
        <color theme="1"/>
        <rFont val="Calibri"/>
        <family val="2"/>
      </rPr>
      <t xml:space="preserve">Located 1.5 miles north of Tamarack (pop 57, 2020), 10 miles east of McGregor (pop 384, 2020), and 30 miles west of Cloquet (pop 12,568, 2020) in central Minnesota; around 130 miles north of Minneapolis and 50 miles west of Duluth.
</t>
    </r>
    <r>
      <rPr>
        <b/>
        <sz val="11"/>
        <color theme="1"/>
        <rFont val="Calibri"/>
        <family val="2"/>
      </rPr>
      <t xml:space="preserve">Developer Description: Lead Developer: </t>
    </r>
    <r>
      <rPr>
        <sz val="11"/>
        <color theme="1"/>
        <rFont val="Calibri"/>
        <family val="2"/>
      </rPr>
      <t xml:space="preserve">The project is being developed through a joint venture with Kennecott, a subsidiary of Rio Tinto.
</t>
    </r>
    <r>
      <rPr>
        <b/>
        <sz val="11"/>
        <color theme="1"/>
        <rFont val="Calibri"/>
        <family val="2"/>
      </rPr>
      <t xml:space="preserve">Developer Description: Parent Company: </t>
    </r>
    <r>
      <rPr>
        <sz val="11"/>
        <color theme="1"/>
        <rFont val="Calibri"/>
        <family val="2"/>
      </rPr>
      <t xml:space="preserve">Talon Metals owns 51% of the Tamarack project. The other 49% is owned by Kennecott- Exploration Company, a subsidiary of Rio Tinto.
</t>
    </r>
    <r>
      <rPr>
        <b/>
        <sz val="11"/>
        <color theme="1"/>
        <rFont val="Calibri"/>
        <family val="2"/>
      </rPr>
      <t>Development Plans: Processing Plan in US:</t>
    </r>
    <r>
      <rPr>
        <sz val="11"/>
        <color theme="1"/>
        <rFont val="Calibri"/>
        <family val="2"/>
      </rPr>
      <t xml:space="preserve"> Processing will occur in a nearby town in North Dakota. 
</t>
    </r>
    <r>
      <rPr>
        <b/>
        <sz val="11"/>
        <color theme="1"/>
        <rFont val="Calibri"/>
        <family val="2"/>
      </rPr>
      <t xml:space="preserve">Financial Support: Federal Agency: </t>
    </r>
    <r>
      <rPr>
        <sz val="11"/>
        <color theme="1"/>
        <rFont val="Calibri"/>
        <family val="2"/>
      </rPr>
      <t xml:space="preserve">DOE $114 million grant for a processing plant in nearby North Dakota. Talon has also been awarded $21 M from DOD, some which may be used at Tamarack. In 2024, the US Department of Defense awarded Talon a $2.4 million contract to aid research and development into new techniques for extracting minerals from nickel sulphide ores and tailings. The research will focus on the Tamarack project. 
</t>
    </r>
    <r>
      <rPr>
        <b/>
        <sz val="11"/>
        <color theme="1"/>
        <rFont val="Calibri"/>
        <family val="2"/>
      </rPr>
      <t xml:space="preserve">Financial Support: Public Supply Agreement w/ Automaker or Battery/Component Producer: </t>
    </r>
    <r>
      <rPr>
        <sz val="11"/>
        <color theme="1"/>
        <rFont val="Calibri"/>
        <family val="2"/>
      </rPr>
      <t xml:space="preserve">Talon has an agreement with Tesla Inc. to supply 75,000 metric tonnes (165 million lbs) of nickel in concentrate (and certain by-products, including cobalt and iron) from the Tamarack Nickel Project over an estimated six-year period.
</t>
    </r>
    <r>
      <rPr>
        <b/>
        <sz val="11"/>
        <color theme="1"/>
        <rFont val="Calibri"/>
        <family val="2"/>
      </rPr>
      <t xml:space="preserve">Land Ownership: Type of Land: </t>
    </r>
    <r>
      <rPr>
        <sz val="11"/>
        <color theme="1"/>
        <rFont val="Calibri"/>
        <family val="2"/>
      </rPr>
      <t xml:space="preserve">90% state owned lands, 10% private land.
</t>
    </r>
    <r>
      <rPr>
        <b/>
        <sz val="11"/>
        <color theme="1"/>
        <rFont val="Calibri"/>
        <family val="2"/>
      </rPr>
      <t xml:space="preserve">Litigation: Court Rulings Issued: </t>
    </r>
    <r>
      <rPr>
        <sz val="11"/>
        <color theme="1"/>
        <rFont val="Calibri"/>
        <family val="2"/>
      </rPr>
      <t xml:space="preserve">In early stages of environmental review but may face obstacles similar toTwin Metals. </t>
    </r>
  </si>
  <si>
    <r>
      <rPr>
        <b/>
        <sz val="11"/>
        <color theme="1"/>
        <rFont val="Calibri"/>
        <family val="2"/>
      </rPr>
      <t>Project Description: Status of Project: </t>
    </r>
    <r>
      <rPr>
        <sz val="11"/>
        <color theme="1"/>
        <rFont val="Calibri"/>
        <family val="2"/>
      </rPr>
      <t xml:space="preserve">Under the Biden administration, the developer’s leases were canceled and a 20-year moratorium was placed on underground mining in the Superior National Forest. Recently (late 2023), the developer obtained permission from the state to explore on nearby state-owned land not covered by the federal moratorium. 
</t>
    </r>
    <r>
      <rPr>
        <b/>
        <sz val="11"/>
        <color theme="1"/>
        <rFont val="Calibri"/>
        <family val="2"/>
      </rPr>
      <t xml:space="preserve">Project Description: Regulatory Challenges: </t>
    </r>
    <r>
      <rPr>
        <sz val="11"/>
        <color theme="1"/>
        <rFont val="Calibri"/>
        <family val="2"/>
      </rPr>
      <t xml:space="preserve">The Obama, Trump and Biden administrations flip flopped on the validity of the developer’s leases, which were invalid as of December 2024.  The developer was unsuccessful in the first round of litigation (2022) aimed at restoring the leases; in November 2023 the developer appealed that decision to the D.C. Circuit Court of Appeals. The DC Circuit may not reach a verdict, since the Department of Justice under President Trump may request that the Trump administration be given an opportunity to resolve the issue.  President Trump has pledged to allow the project to move forward, but a complex bureaucratic process is required to make that happen.
</t>
    </r>
    <r>
      <rPr>
        <b/>
        <sz val="11"/>
        <color theme="1"/>
        <rFont val="Calibri"/>
        <family val="2"/>
      </rPr>
      <t xml:space="preserve">Location: Additional Location Information: </t>
    </r>
    <r>
      <rPr>
        <sz val="11"/>
        <color theme="1"/>
        <rFont val="Calibri"/>
        <family val="2"/>
      </rPr>
      <t xml:space="preserve">Located 9 miles southeast of Ely (3,268, 2020) and 11 miles northeast of Babbitt (pop 1,397, 2020) in northeastern Minnesota. The site is part of the  Duluth Complex geologic formation and is located near the Boundary Waters Canoe Area Wilderness.
</t>
    </r>
    <r>
      <rPr>
        <b/>
        <sz val="11"/>
        <color theme="1"/>
        <rFont val="Calibri"/>
        <family val="2"/>
      </rPr>
      <t xml:space="preserve">Developer Description: Parent Company: </t>
    </r>
    <r>
      <rPr>
        <sz val="11"/>
        <color theme="1"/>
        <rFont val="Calibri"/>
        <family val="2"/>
      </rPr>
      <t xml:space="preserve">A local Duluth-based company explored the site and then partnered with a Chilean-based multinational to help finance and develop it.  The two companies formed Twin Metals Inc, the current developer.
</t>
    </r>
    <r>
      <rPr>
        <b/>
        <sz val="11"/>
        <color theme="1"/>
        <rFont val="Calibri"/>
        <family val="2"/>
      </rPr>
      <t xml:space="preserve">Litigation: Evidence of Litigation: </t>
    </r>
    <r>
      <rPr>
        <sz val="11"/>
        <color theme="1"/>
        <rFont val="Calibri"/>
        <family val="2"/>
      </rPr>
      <t xml:space="preserve">The first case addressed whether the Trump administration (2017), through BLM, was allowed to reinstate the leases for Twin Metals that the Obama administration had cancelled (2016). A federal district court ruled that the leases were reinstated lawfully.  When the Biden Administration, through BLM and USFS, rescinded the leases again, and the developer sued, a federal district court (2023) ruled that the rescissions were lawful. The developer sued to regain the leases but lost its suit in federal district court. The developer appealed to the DC Circuit Court of Appeals, which was deliberating in 2024.                                                                                                              </t>
    </r>
  </si>
  <si>
    <r>
      <rPr>
        <b/>
        <sz val="11"/>
        <color theme="1"/>
        <rFont val="Calibri"/>
        <family val="2"/>
      </rPr>
      <t xml:space="preserve">Project Description: Status of Project: </t>
    </r>
    <r>
      <rPr>
        <sz val="11"/>
        <color theme="1"/>
        <rFont val="Calibri"/>
        <family val="2"/>
      </rPr>
      <t xml:space="preserve">The developer has already compiled detailed datasets relating to historic well logs, petrophysics, stratigraphy and local geology, Going forward, the developer will conduct exploration work toward the upgrade of the Mineral Resource from Inferred to Indicated in accordance with JORC 2012; sample existing wells (and potential drilling of new well(s)) to obtain brine to verify historical lithium-brine geochemical results; conduct initial mineral processing test work to validate the potential extraction of lithium from Paradox Basin brine; and identify the reservoirs and/or areas with the greatest lithium-brine potential.
</t>
    </r>
    <r>
      <rPr>
        <b/>
        <sz val="11"/>
        <color theme="1"/>
        <rFont val="Calibri"/>
        <family val="2"/>
      </rPr>
      <t>Project Description: Change in Ownership:</t>
    </r>
    <r>
      <rPr>
        <sz val="11"/>
        <color theme="1"/>
        <rFont val="Calibri"/>
        <family val="2"/>
      </rPr>
      <t xml:space="preserve"> The developer confirmed partial acquisition of the Utah lithium project in May 2023, securing over 80,000 acres prospective for lithium brines in the Paradox Basin. It now fully owns 93,755 acres, or 379 square kilometres.
</t>
    </r>
    <r>
      <rPr>
        <b/>
        <sz val="11"/>
        <color theme="1"/>
        <rFont val="Calibri"/>
        <family val="2"/>
      </rPr>
      <t xml:space="preserve">Location: Additional Location Information: </t>
    </r>
    <r>
      <rPr>
        <sz val="11"/>
        <color theme="1"/>
        <rFont val="Calibri"/>
        <family val="2"/>
      </rPr>
      <t xml:space="preserve">Closest towns are Moab (pop 5,366, 2020), Grand County, southeastern Utah and Grand Junction, western Colorado. (Located in Paradox Basin:  Intreprid Potash’s Cane Creek potash mine is 32 miles to the northwest; Anson’s lithium project is 38 miles to the northwest). 
</t>
    </r>
    <r>
      <rPr>
        <b/>
        <sz val="11"/>
        <color theme="1"/>
        <rFont val="Calibri"/>
        <family val="2"/>
      </rPr>
      <t>Commericial Plans: Processing Plan in US:</t>
    </r>
    <r>
      <rPr>
        <sz val="11"/>
        <color theme="1"/>
        <rFont val="Calibri"/>
        <family val="2"/>
      </rPr>
      <t xml:space="preserve"> Plan for two pilot DLE processing facilities.  Two DLE partners have produced battery-grade Lithium
Hydroxide directly from Mandrake brine. DLE developer, Electroflow Technologies, achieved 92% conversion to lithium hydroxide with no chemical pretreatment of brine.    Rio-Tinto-backed ElectraLith successfully produced 99.9% pure battery-grade Lithium Hydroxide from Mandrake’s brines.  
</t>
    </r>
    <r>
      <rPr>
        <b/>
        <sz val="11"/>
        <color theme="1"/>
        <rFont val="Calibri"/>
        <family val="2"/>
      </rPr>
      <t xml:space="preserve">Finacial Support: Federal Agency: </t>
    </r>
    <r>
      <rPr>
        <sz val="11"/>
        <color theme="1"/>
        <rFont val="Calibri"/>
        <family val="2"/>
      </rPr>
      <t xml:space="preserve">US$1 Million grant awarded by US Department of Energy (DOE) to a consortium of Mandrake, Idaho National Laboratories (INL), National Renewable Energy Laboratory (NREL) and University of Utah.  Will give Mandrake access to the foremost U.S. scientists and sophisticated U.S.-funded laboratories, plus cash to part fund forthcoming re-entry activities at oil and gas well sites.  Additional DOE applications for further funding are in process.  
</t>
    </r>
  </si>
  <si>
    <r>
      <rPr>
        <b/>
        <sz val="11"/>
        <color theme="1"/>
        <rFont val="Calibri"/>
        <family val="2"/>
      </rPr>
      <t>Project Description: Status of Project: </t>
    </r>
    <r>
      <rPr>
        <sz val="11"/>
        <color theme="1"/>
        <rFont val="Calibri"/>
        <family val="2"/>
      </rPr>
      <t xml:space="preserve">Without an amendment to section 401 of the Steens Cooperative Management and Protection Act of 2000, the project will not be able to proceed.  In 2000 Congress withdrew from development a large swatch of land in eastern Oregon that includes the Steed Mountains, including the Alvord Desert.
</t>
    </r>
    <r>
      <rPr>
        <b/>
        <sz val="11"/>
        <color theme="1"/>
        <rFont val="Calibri"/>
        <family val="2"/>
      </rPr>
      <t xml:space="preserve">Project Description: Regulatory Challenges: </t>
    </r>
    <r>
      <rPr>
        <sz val="11"/>
        <color theme="1"/>
        <rFont val="Calibri"/>
        <family val="2"/>
      </rPr>
      <t xml:space="preserve">The BLM determined in 2022 that the land staked by the developer was placed off limits to mining by a conservation law (the Steens Act) passed at the end of the Clinton administration (2000).
</t>
    </r>
    <r>
      <rPr>
        <b/>
        <sz val="11"/>
        <color theme="1"/>
        <rFont val="Calibri"/>
        <family val="2"/>
      </rPr>
      <t xml:space="preserve">Location: Additional Location Information: </t>
    </r>
    <r>
      <rPr>
        <sz val="11"/>
        <color theme="1"/>
        <rFont val="Calibri"/>
        <family val="2"/>
      </rPr>
      <t xml:space="preserve">Located in the Alvord Desert in southeast Oregon near the town of Fields (pop 120, 2020); across the border in Nevada is the Lithium Americas’ Thacker Pass lithium project.
</t>
    </r>
    <r>
      <rPr>
        <b/>
        <sz val="11"/>
        <color theme="1"/>
        <rFont val="Calibri"/>
        <family val="2"/>
      </rPr>
      <t>Location: Mineral Occurrence: </t>
    </r>
    <r>
      <rPr>
        <sz val="11"/>
        <color theme="1"/>
        <rFont val="Calibri"/>
        <family val="2"/>
      </rPr>
      <t xml:space="preserve">The developer’s attempted claims were located on a volcanic field to the north of the McDermott and Thacker Pass lithium projects near the Nevada line.  The developer became intrigued due to some 1970s USGS sampling of two springs at nearby private land. 
</t>
    </r>
    <r>
      <rPr>
        <b/>
        <sz val="11"/>
        <color theme="1"/>
        <rFont val="Calibri"/>
        <family val="2"/>
      </rPr>
      <t>Developer Description: Parent Company:</t>
    </r>
    <r>
      <rPr>
        <sz val="11"/>
        <color theme="1"/>
        <rFont val="Calibri"/>
        <family val="2"/>
      </rPr>
      <t xml:space="preserve"> ACME Lithium Inc. is developing two sites in southwest Nevada and two in Manitoba, Canada.
</t>
    </r>
    <r>
      <rPr>
        <b/>
        <sz val="11"/>
        <color theme="1"/>
        <rFont val="Calibri"/>
        <family val="2"/>
      </rPr>
      <t>Land Ownership: Year of Land Acquisition:</t>
    </r>
    <r>
      <rPr>
        <sz val="11"/>
        <color theme="1"/>
        <rFont val="Calibri"/>
        <family val="2"/>
      </rPr>
      <t xml:space="preserve"> Company staked 340 placer mining claims encompassing approx. 6727 acres near the Nevada border in southeast Oregon in late March 2022</t>
    </r>
  </si>
  <si>
    <r>
      <rPr>
        <b/>
        <sz val="11"/>
        <color theme="1"/>
        <rFont val="Calibri"/>
        <family val="2"/>
      </rPr>
      <t xml:space="preserve">Project Description: Mining Method: </t>
    </r>
    <r>
      <rPr>
        <sz val="11"/>
        <color theme="1"/>
        <rFont val="Calibri"/>
        <family val="2"/>
      </rPr>
      <t xml:space="preserve">An open pit mine that will include infrastructure such as a tailings management facility, a waste rock facility, a tailings dam, a waste rock collection pond, multiple water treatment plants, a mill facility, a crusher facility, an ore stockpile building, and a concentrate  facility. 
</t>
    </r>
    <r>
      <rPr>
        <b/>
        <sz val="11"/>
        <color theme="1"/>
        <rFont val="Calibri"/>
        <family val="2"/>
      </rPr>
      <t>Project Description: Existing Mine:</t>
    </r>
    <r>
      <rPr>
        <sz val="11"/>
        <color theme="1"/>
        <rFont val="Calibri"/>
        <family val="2"/>
      </rPr>
      <t xml:space="preserve"> No previous mining but exploratory drilling at the Arctic deposit and within the Ambler Mining District has been ongoing since its discovery in 1966. Approximately 67,639 meters of drilling was completed within the Ambler Mining District, including 55,038 meters of drilling in 285 drill holes at the Arctic deposit or on potential extensions. Drill programs were completed by Kennecott and its subsidiaries, Anaconda, NovaGold, Trilogy and Ambler Metals. 
</t>
    </r>
    <r>
      <rPr>
        <b/>
        <sz val="11"/>
        <color theme="1"/>
        <rFont val="Calibri"/>
        <family val="2"/>
      </rPr>
      <t xml:space="preserve">Project Description: Status of Project: </t>
    </r>
    <r>
      <rPr>
        <sz val="11"/>
        <color theme="1"/>
        <rFont val="Calibri"/>
        <family val="2"/>
      </rPr>
      <t xml:space="preserve">The public debate has focused on the proposed Ambler Road that is designed to connect the mine to the Dalton Highway. The mining project itself may also be controversial. The 211-mile-long Ambler Road was initially approved under the Trump administration, which issued, through the Army Corps of Engineers and BLM, a 50-year right-of-way permit to build the road just before President Donald Trump left office.  Under the Biden administration, the federal government revised the Trump-era environmental impact assessment, found unacceptable environmental risks, and disallowed the permit. The decision against proceeding with the project was contained in a final supplemental environmental impact statement released by BLM.  In 2025 President Trump issued an executive order calling for the reinstatement of the permit for the Ambler Road. 
</t>
    </r>
    <r>
      <rPr>
        <b/>
        <sz val="11"/>
        <color theme="1"/>
        <rFont val="Calibri"/>
        <family val="2"/>
      </rPr>
      <t xml:space="preserve">Location: County: </t>
    </r>
    <r>
      <rPr>
        <sz val="11"/>
        <color theme="1"/>
        <rFont val="Calibri"/>
        <family val="2"/>
      </rPr>
      <t xml:space="preserve">Northwest Arctic Borough of Alaska
</t>
    </r>
    <r>
      <rPr>
        <b/>
        <sz val="11"/>
        <color theme="1"/>
        <rFont val="Calibri"/>
        <family val="2"/>
      </rPr>
      <t xml:space="preserve">Location: Additional Location Information:  </t>
    </r>
    <r>
      <rPr>
        <sz val="11"/>
        <color theme="1"/>
        <rFont val="Calibri"/>
        <family val="2"/>
      </rPr>
      <t xml:space="preserve">Southern Brooks Range of arctic region of Alaska approximately 168 miles east of Kotzebue, 22 miles northeast of Kobuk, 162 miles west of the Dalton Highway; 292 miles northwest of Fairbanks. 
</t>
    </r>
    <r>
      <rPr>
        <b/>
        <sz val="11"/>
        <color theme="1"/>
        <rFont val="Calibri"/>
        <family val="2"/>
      </rPr>
      <t xml:space="preserve">Developer Description: Parent Company: </t>
    </r>
    <r>
      <rPr>
        <sz val="11"/>
        <color theme="1"/>
        <rFont val="Calibri"/>
        <family val="2"/>
      </rPr>
      <t xml:space="preserve">Joint Venture of South 32 Limited (AU) and Trilogy Metals Inc. (CA). NovaGold Resources Inc. acquired the Arctic Project from Kennecott in 2004. In 2011, NovaGold transferred all copper projects to NovaCopper Inc. and in 2012 spun-out NovaCopper to its then existing shareholders. NovaCopper Inc. subsequently underwent a name change to Trilogy Metals Inc. in 2016. The Project is directly held by Ambler Metals LLC in a 50/50 joint venture between South32 and Trilogy Metals (February 2020). Upon the formation of the joint venture, Trilogy Metals contributed all of its Alaskan assets, including the Project , to Ambler Metals in exchange for a 50% membership interest; at the same time, South32 contributed $145 million in cash for a 50% membership interest.
</t>
    </r>
    <r>
      <rPr>
        <b/>
        <sz val="11"/>
        <color theme="1"/>
        <rFont val="Calibri"/>
        <family val="2"/>
      </rPr>
      <t xml:space="preserve">Development Plans: Planned Production Capacity: </t>
    </r>
    <r>
      <rPr>
        <sz val="11"/>
        <color theme="1"/>
        <rFont val="Calibri"/>
        <family val="2"/>
      </rPr>
      <t xml:space="preserve">The developer announced the results of an updated Arctic Feasibility Study (FS) on February 14, 2023.  
</t>
    </r>
    <r>
      <rPr>
        <b/>
        <sz val="11"/>
        <color theme="1"/>
        <rFont val="Calibri"/>
        <family val="2"/>
      </rPr>
      <t xml:space="preserve">Development Plans: Processing Done by the Same Lead Developer/Parent Company: </t>
    </r>
    <r>
      <rPr>
        <sz val="11"/>
        <color theme="1"/>
        <rFont val="Calibri"/>
        <family val="2"/>
      </rPr>
      <t xml:space="preserve">The conclusions of test work conducted both in 2012 and 2017 indicate that the Arctic materials are well-suited to the production of high-quality copper and zinc concentrates using flotation techniques, which are industry standard.  The process plant will produce three concentrates: copper concentrate, zinc concentrate, and lead concentrate. 
</t>
    </r>
    <r>
      <rPr>
        <b/>
        <sz val="11"/>
        <color theme="1"/>
        <rFont val="Calibri"/>
        <family val="2"/>
      </rPr>
      <t xml:space="preserve">Land Ownership: Type of Land: </t>
    </r>
    <r>
      <rPr>
        <sz val="11"/>
        <color theme="1"/>
        <rFont val="Calibri"/>
        <family val="2"/>
      </rPr>
      <t xml:space="preserve">The project area consists of 18 federal patented mining claims, which cover an area of approximately 272 acres and 1,341 state mineral claims that cover an area of approximately 114,000 acres. In total, the Project area comprises approximately 114,498 acres of state and federal (BLM) mining claims. 
</t>
    </r>
    <r>
      <rPr>
        <b/>
        <sz val="11"/>
        <color theme="1"/>
        <rFont val="Calibri"/>
        <family val="2"/>
      </rPr>
      <t xml:space="preserve">Litigation: Evidence of Litigation: </t>
    </r>
    <r>
      <rPr>
        <sz val="11"/>
        <color theme="1"/>
        <rFont val="Calibri"/>
        <family val="2"/>
      </rPr>
      <t>The Tanana Chiefs Conference, which represents 42 villages in interior Alaska, many of which are located near to the proposed Ambler Road, sued the Interior Department in 2020 over its handling of the environmental analysis, arguing that it did not adequately address impacts to their way of life.  This lawsuit was not resolved when the Biden administration took office, and the lawsuit was set aside while the administration revisited the environmental impact statement.</t>
    </r>
  </si>
  <si>
    <r>
      <rPr>
        <b/>
        <sz val="11"/>
        <color theme="1"/>
        <rFont val="Calibri"/>
        <family val="2"/>
      </rPr>
      <t xml:space="preserve">Project Description: Status of Project: </t>
    </r>
    <r>
      <rPr>
        <sz val="11"/>
        <color theme="1"/>
        <rFont val="Calibri"/>
        <family val="2"/>
      </rPr>
      <t xml:space="preserve">The developer experienced a setback in August 2024 when a federal judge ordered an injunction against exploratory drilling while the judge rules on the merits of a lawsuit by the Hualapai Tribe and the nonprofit environmental law organization Earthjustice. The lawsuit challenged BLM's approval of the exploratory drilling, arguing that the project threatens Ha'Kamwe', a medicinal spring recognized as a traditional cultural property. The tribes also argued that BLM failed to consider reasonable, lower-risk options such as approving only 1 or 2 of 3 proposed drill sites, requiring the sites to be located further from sensitive areas, and requiring stricter controls on noise, light, traffic and vibrations. The tribes were also concerned that exploratory drilling might affect aquifers including wildlife, flora, fauna, and gathering areas. 
</t>
    </r>
    <r>
      <rPr>
        <b/>
        <sz val="11"/>
        <color theme="1"/>
        <rFont val="Calibri"/>
        <family val="2"/>
      </rPr>
      <t xml:space="preserve">Project Description: Regulatory Challenges: </t>
    </r>
    <r>
      <rPr>
        <sz val="11"/>
        <color theme="1"/>
        <rFont val="Calibri"/>
        <family val="2"/>
      </rPr>
      <t xml:space="preserve">Unpatented mining claims on the site of the project led to a dispute with another developer that took two years to be fully resolved; the developer was delayed in obtaining a third exploratory permit from BLM due to intense opposition from nearby tribes and others.   The request for the third exploratory program was filed on March 12, 2021.  The public comment period began in April 2021 and was extended twice.  The developer ultimately agreed to several changes to the exploration plan to secure BLM approval in June 2024. The first and second exploratory activities were in 2019, 16 holes covering 1.57 acres and then 37 holes covering 4.98 acres.  The third permit allows 131 holes covering 21 acres over an 18-month period. In late 2024, a federal court issued an injunction against BLM’s approval of exploration (third phase) on the grounds of inadequate consultation with tribal groups and threat to a historical and spiritual site.
</t>
    </r>
    <r>
      <rPr>
        <b/>
        <sz val="11"/>
        <color theme="1"/>
        <rFont val="Calibri"/>
        <family val="2"/>
      </rPr>
      <t>Location: Additional Location Information: </t>
    </r>
    <r>
      <rPr>
        <sz val="11"/>
        <color theme="1"/>
        <rFont val="Calibri"/>
        <family val="2"/>
      </rPr>
      <t xml:space="preserve">Northern Arizona on Interstate 93 (I-93) near small town of Wikieup, about halfway between Phoenix and Las Vegas.
</t>
    </r>
    <r>
      <rPr>
        <b/>
        <sz val="11"/>
        <color theme="1"/>
        <rFont val="Calibri"/>
        <family val="2"/>
      </rPr>
      <t xml:space="preserve">Developer Description: Lead Developer: </t>
    </r>
    <r>
      <rPr>
        <sz val="11"/>
        <color theme="1"/>
        <rFont val="Calibri"/>
        <family val="2"/>
      </rPr>
      <t xml:space="preserve">partnered with Navajo Transitional Energy Company- handling operations and permitting process
</t>
    </r>
    <r>
      <rPr>
        <b/>
        <sz val="11"/>
        <color theme="1"/>
        <rFont val="Calibri"/>
        <family val="2"/>
      </rPr>
      <t xml:space="preserve">Development Plans: Processing Plan in US: </t>
    </r>
    <r>
      <rPr>
        <sz val="11"/>
        <color theme="1"/>
        <rFont val="Calibri"/>
        <family val="2"/>
      </rPr>
      <t xml:space="preserve">Preliminary tests with contractors Hazen Research &amp; KCA to determine feasibility. Using sulphuric acid to extract Li
</t>
    </r>
    <r>
      <rPr>
        <b/>
        <sz val="11"/>
        <color theme="1"/>
        <rFont val="Calibri"/>
        <family val="2"/>
      </rPr>
      <t xml:space="preserve">Litigation: Evidence of Litigation: </t>
    </r>
    <r>
      <rPr>
        <sz val="11"/>
        <color theme="1"/>
        <rFont val="Calibri"/>
        <family val="2"/>
      </rPr>
      <t>In August of 2024, a federal judge overturned the third exploratory drilling plan that was approved by the BLM earlier in June, even though plan was changed extensively to accommodate some tribal concerns. Litigants included EarthJustice and a local tribe. In November of 2024, the US District Court For the District of Arizona ordered that Arizona Lithium cannot continue any work that was previously authorized by BLM’s June 6th or 9th decision letters. The Hualapai Tribe’s request to extend the temporary restraining order into a preliminary injunction was also granted.</t>
    </r>
  </si>
  <si>
    <r>
      <t xml:space="preserve">Project Description: Status of Project: </t>
    </r>
    <r>
      <rPr>
        <sz val="11"/>
        <color rgb="FF434343"/>
        <rFont val="Roboto"/>
      </rPr>
      <t xml:space="preserve">Development. Mine construction was delayed during years of litigation over the Montana DEQ operating permit.  The developer has not yet announced a timetable for construction after the favorable 2024 decision of the Montana State Supreme Court.
</t>
    </r>
    <r>
      <rPr>
        <b/>
        <sz val="11"/>
        <color rgb="FF434343"/>
        <rFont val="Roboto"/>
      </rPr>
      <t xml:space="preserve">Project Description: Regulatory Challenges: </t>
    </r>
    <r>
      <rPr>
        <sz val="11"/>
        <color rgb="FF434343"/>
        <rFont val="Roboto"/>
      </rPr>
      <t xml:space="preserve">The developer is managing opposition from several conservation groups and mayors of towns that are downstream of the planned project. In 2018 the developer helped defeat (56% - 44%) a statewide ballot proposition (Montana I-186) that would have restricted permitting for mining projects such as Black Butte. The developer is also managing two sets of multi-year lawsuits against its permits, and both cases reached the Montana Supreme Court.
</t>
    </r>
    <r>
      <rPr>
        <b/>
        <sz val="11"/>
        <color rgb="FF434343"/>
        <rFont val="Roboto"/>
      </rPr>
      <t xml:space="preserve">Location: Additional Location Information: </t>
    </r>
    <r>
      <rPr>
        <sz val="11"/>
        <color rgb="FF434343"/>
        <rFont val="Roboto"/>
      </rPr>
      <t xml:space="preserve">Located 17 miles north of White Sulphur Springs (955, 2020), central Montana.
</t>
    </r>
    <r>
      <rPr>
        <b/>
        <sz val="11"/>
        <color rgb="FF434343"/>
        <rFont val="Roboto"/>
      </rPr>
      <t xml:space="preserve">Litigation: Evidence of Litigation: </t>
    </r>
    <r>
      <rPr>
        <sz val="11"/>
        <color rgb="FF434343"/>
        <rFont val="Roboto"/>
      </rPr>
      <t>In 2024 the Montana Supreme Court upheld the project's operating permit, reversing the lower court's decision. A separate lawsuit alleged the Montana Department of Environmental Quality should have required more permits for the project's planned usage of groundwater. The Montana Supreme Court heard the case in March 2024 and has not yet released a decision.</t>
    </r>
  </si>
  <si>
    <r>
      <rPr>
        <b/>
        <sz val="11"/>
        <color theme="1"/>
        <rFont val="Calibri"/>
        <family val="2"/>
      </rPr>
      <t xml:space="preserve">Project Description: Project Name: </t>
    </r>
    <r>
      <rPr>
        <sz val="11"/>
        <color theme="1"/>
        <rFont val="Calibri"/>
        <family val="2"/>
      </rPr>
      <t xml:space="preserve">Also called South Dakota Lithium Project
</t>
    </r>
    <r>
      <rPr>
        <b/>
        <sz val="11"/>
        <color theme="1"/>
        <rFont val="Calibri"/>
        <family val="2"/>
      </rPr>
      <t xml:space="preserve">Project Description: Status of Project: </t>
    </r>
    <r>
      <rPr>
        <sz val="11"/>
        <color theme="1"/>
        <rFont val="Calibri"/>
        <family val="2"/>
      </rPr>
      <t xml:space="preserve">The developer is undertaking exploration geology work preparing for its first drill program, which involves detailed channel sampling, mapping, geochemistry analysis, and target generation.  Midwest Lithium’s projects are located in the Black Hills region, encompassing five key areas, notably Keystone, Hill City, Phelps, Tin Mountain, and Scott’s Rose.
</t>
    </r>
    <r>
      <rPr>
        <b/>
        <sz val="11"/>
        <color theme="1"/>
        <rFont val="Calibri"/>
        <family val="2"/>
      </rPr>
      <t xml:space="preserve">Project Description: Regulatory Challenges: </t>
    </r>
    <r>
      <rPr>
        <sz val="11"/>
        <color theme="1"/>
        <rFont val="Calibri"/>
        <family val="2"/>
      </rPr>
      <t xml:space="preserve">Mining opponents have sought unsuccessfully to classify lithium as hard rock mining, which would impose stricter mining regulations.  
</t>
    </r>
    <r>
      <rPr>
        <b/>
        <sz val="11"/>
        <color theme="1"/>
        <rFont val="Calibri"/>
        <family val="2"/>
      </rPr>
      <t xml:space="preserve">Location: Additional Location Information: </t>
    </r>
    <r>
      <rPr>
        <sz val="11"/>
        <color theme="1"/>
        <rFont val="Calibri"/>
        <family val="2"/>
      </rPr>
      <t xml:space="preserve">Near Custer (1,919, 2020), Custer County, southwest South Dakota.  Also ¼ mile south of municipal boundary of Hill City. Hill City is the oldest existing city in Pennington County, South Dakota, United States. The population was 872 at the 2020 census. But as of the 2024 census, the population is now over 1,000. Hill City is located 26 miles (42 km) southwest of Rapid City on U.S. Highway 16 and on U.S. Route 385 that connects Deadwood to Hot Springs.
</t>
    </r>
    <r>
      <rPr>
        <b/>
        <sz val="11"/>
        <color theme="1"/>
        <rFont val="Calibri"/>
        <family val="2"/>
      </rPr>
      <t xml:space="preserve">Location: Mining District: </t>
    </r>
    <r>
      <rPr>
        <sz val="11"/>
        <color theme="1"/>
        <rFont val="Calibri"/>
        <family val="2"/>
      </rPr>
      <t xml:space="preserve">Visible spodumene and other lithium minerals are easily identified around the Black Hills mining district, which is home to a number of historical mines and some of the first spodumene processing plants worldwide (1890 through World War II), indicating that spodumene in the region can be easily extracted through conventional DMS and flotation methods.  
</t>
    </r>
    <r>
      <rPr>
        <b/>
        <sz val="11"/>
        <color theme="1"/>
        <rFont val="Calibri"/>
        <family val="2"/>
      </rPr>
      <t xml:space="preserve">Developer Description: Parent Company: </t>
    </r>
    <r>
      <rPr>
        <sz val="11"/>
        <color theme="1"/>
        <rFont val="Calibri"/>
        <family val="2"/>
      </rPr>
      <t xml:space="preserve">Armada Metals (Australia), which wholly owns Midwest Lithium (Switzerland/Australia), is undergoing a name change to Rapid Lithium Limited. 
</t>
    </r>
    <r>
      <rPr>
        <b/>
        <sz val="11"/>
        <color theme="1"/>
        <rFont val="Calibri"/>
        <family val="2"/>
      </rPr>
      <t xml:space="preserve">Developer Description: Was There Change in Ownership During Project?: </t>
    </r>
    <r>
      <rPr>
        <sz val="11"/>
        <color theme="1"/>
        <rFont val="Calibri"/>
        <family val="2"/>
      </rPr>
      <t xml:space="preserve">In October 2024, Armada purchased 100% of Midwest Lithium.  Armada acquired a 100% equity interest in Midwest from its various securityholders in exchange for the issue of 343 million shares, at completion of the transaction representing 50% of Armada’s capital following the recently completed equity raise.
</t>
    </r>
    <r>
      <rPr>
        <b/>
        <sz val="11"/>
        <color theme="1"/>
        <rFont val="Calibri"/>
        <family val="2"/>
      </rPr>
      <t xml:space="preserve">Commerical Plans: Processing Plan in U.S.: </t>
    </r>
    <r>
      <rPr>
        <sz val="11"/>
        <color theme="1"/>
        <rFont val="Calibri"/>
        <family val="2"/>
      </rPr>
      <t xml:space="preserve">Processing is planned to be on-site. 
</t>
    </r>
    <r>
      <rPr>
        <b/>
        <sz val="11"/>
        <color theme="1"/>
        <rFont val="Calibri"/>
        <family val="2"/>
      </rPr>
      <t xml:space="preserve">Land Ownership: Type of Land: </t>
    </r>
    <r>
      <rPr>
        <sz val="11"/>
        <color theme="1"/>
        <rFont val="Calibri"/>
        <family val="2"/>
      </rPr>
      <t>The South Dakota lithium project comprises of around 23,500 acres of both Federal and Private Land.</t>
    </r>
  </si>
  <si>
    <r>
      <rPr>
        <b/>
        <sz val="11"/>
        <color theme="1"/>
        <rFont val="Calibri"/>
        <family val="2"/>
      </rPr>
      <t xml:space="preserve">Project Description: Project Name: </t>
    </r>
    <r>
      <rPr>
        <sz val="11"/>
        <color theme="1"/>
        <rFont val="Calibri"/>
        <family val="2"/>
      </rPr>
      <t xml:space="preserve">Also referred to as "Liberty Lithum Project"
</t>
    </r>
    <r>
      <rPr>
        <b/>
        <sz val="11"/>
        <color theme="1"/>
        <rFont val="Calibri"/>
        <family val="2"/>
      </rPr>
      <t xml:space="preserve">Project Description: Existing Mine: </t>
    </r>
    <r>
      <rPr>
        <sz val="11"/>
        <color theme="1"/>
        <rFont val="Calibri"/>
        <family val="2"/>
      </rPr>
      <t xml:space="preserve">Area was mined for lithium-beryillium during World War 2.
</t>
    </r>
    <r>
      <rPr>
        <b/>
        <sz val="11"/>
        <color theme="1"/>
        <rFont val="Calibri"/>
        <family val="2"/>
      </rPr>
      <t xml:space="preserve">Location: Additional Location Information: </t>
    </r>
    <r>
      <rPr>
        <sz val="11"/>
        <color theme="1"/>
        <rFont val="Calibri"/>
        <family val="2"/>
      </rPr>
      <t xml:space="preserve">The Project is near Pringle (pop 109, 2020), south of Custer (pop 1,919, 2020), Custer County, southwestern South Dakota, more than 10 miles (16 kms) from Mount Rushmore and the Crazy Horse National Monument. 
</t>
    </r>
    <r>
      <rPr>
        <b/>
        <sz val="11"/>
        <color theme="1"/>
        <rFont val="Calibri"/>
        <family val="2"/>
      </rPr>
      <t xml:space="preserve">Land Ownership: Type of Land: </t>
    </r>
    <r>
      <rPr>
        <sz val="11"/>
        <color theme="1"/>
        <rFont val="Calibri"/>
        <family val="2"/>
      </rPr>
      <t xml:space="preserve">The developer staked over 500 unpatented lode claims covering more than 15 square miles (nearly 40 square kilometers) in the west and southwest parts of the Black Hills. Additional claims staked later. </t>
    </r>
  </si>
  <si>
    <r>
      <rPr>
        <b/>
        <sz val="11"/>
        <color theme="1"/>
        <rFont val="Calibri"/>
        <family val="2"/>
      </rPr>
      <t>Project Description: Status of Project: </t>
    </r>
    <r>
      <rPr>
        <sz val="11"/>
        <color theme="1"/>
        <rFont val="Calibri"/>
        <family val="2"/>
      </rPr>
      <t xml:space="preserve">Work at the site ended in 2022 when the BLM determined that the claims were in an area of eastern Oregon that Congress withdrew from mining in a federal conservation law called the Steens Act of 2,000.  
</t>
    </r>
    <r>
      <rPr>
        <b/>
        <sz val="11"/>
        <color theme="1"/>
        <rFont val="Calibri"/>
        <family val="2"/>
      </rPr>
      <t xml:space="preserve">Project Description: Regulatory Challenges: </t>
    </r>
    <r>
      <rPr>
        <sz val="11"/>
        <color theme="1"/>
        <rFont val="Calibri"/>
        <family val="2"/>
      </rPr>
      <t xml:space="preserve">The land this project was planned for is off-limits to mining per an action by Congress.
</t>
    </r>
    <r>
      <rPr>
        <b/>
        <sz val="11"/>
        <color theme="1"/>
        <rFont val="Calibri"/>
        <family val="2"/>
      </rPr>
      <t xml:space="preserve">Location: Additional Location Information: </t>
    </r>
    <r>
      <rPr>
        <sz val="11"/>
        <color theme="1"/>
        <rFont val="Calibri"/>
        <family val="2"/>
      </rPr>
      <t>Near town of Fields (pop 120, 2010), in Alvord Desert, southeast Oregon. </t>
    </r>
  </si>
  <si>
    <r>
      <rPr>
        <b/>
        <sz val="11"/>
        <color theme="1"/>
        <rFont val="Calibri"/>
        <family val="2"/>
      </rPr>
      <t xml:space="preserve">Project Description: Mining Method: </t>
    </r>
    <r>
      <rPr>
        <sz val="11"/>
        <color theme="1"/>
        <rFont val="Calibri"/>
        <family val="2"/>
      </rPr>
      <t xml:space="preserve">Plan for 4 new open pit mines, each 50 feet deep, 1,500 acres.
</t>
    </r>
    <r>
      <rPr>
        <b/>
        <sz val="11"/>
        <color theme="1"/>
        <rFont val="Calibri"/>
        <family val="2"/>
      </rPr>
      <t xml:space="preserve">Project Description: Existing Mine: </t>
    </r>
    <r>
      <rPr>
        <sz val="11"/>
        <color theme="1"/>
        <rFont val="Calibri"/>
        <family val="2"/>
      </rPr>
      <t xml:space="preserve">Site is location of old lithium mines that closed in 1980s and 1990s (competition from South America)
</t>
    </r>
    <r>
      <rPr>
        <b/>
        <sz val="11"/>
        <color theme="1"/>
        <rFont val="Calibri"/>
        <family val="2"/>
      </rPr>
      <t>Project Description: Status of Project: </t>
    </r>
    <r>
      <rPr>
        <sz val="11"/>
        <color theme="1"/>
        <rFont val="Calibri"/>
        <family val="2"/>
      </rPr>
      <t xml:space="preserve">The developer no longer has an explicit schedule for starting production but in 2024 secured a critical state permit
</t>
    </r>
    <r>
      <rPr>
        <b/>
        <sz val="11"/>
        <color theme="1"/>
        <rFont val="Calibri"/>
        <family val="2"/>
      </rPr>
      <t xml:space="preserve">Project Description: Regulatory Challenges: </t>
    </r>
    <r>
      <rPr>
        <sz val="11"/>
        <color theme="1"/>
        <rFont val="Calibri"/>
        <family val="2"/>
      </rPr>
      <t xml:space="preserve">It took the developer several years longer than expected to obtain necessary state permits.  The required rezoning by the Gaston County Commissioners has not yet occurred.
</t>
    </r>
    <r>
      <rPr>
        <b/>
        <sz val="11"/>
        <color theme="1"/>
        <rFont val="Calibri"/>
        <family val="2"/>
      </rPr>
      <t>Location: Additional Location Information: </t>
    </r>
    <r>
      <rPr>
        <sz val="11"/>
        <color theme="1"/>
        <rFont val="Calibri"/>
        <family val="2"/>
      </rPr>
      <t xml:space="preserve">Located about 30 miles west of Charlotte, North Carolina, near the town of Cherryville (pop 6,707, 2020) within the Carolina Tin-Spodumene Belt.  From the 1950s to the 1980s, the Carolina Tin-Spodumene Belt provided nearly all the world’s lithium, delivering important supply chain resources to the U.S. military as well as the automotive, glass, ceramics, and pharmaceutical industries.
</t>
    </r>
    <r>
      <rPr>
        <b/>
        <sz val="11"/>
        <color theme="1"/>
        <rFont val="Calibri"/>
        <family val="2"/>
      </rPr>
      <t xml:space="preserve">Developer Description: Parent Company: </t>
    </r>
    <r>
      <rPr>
        <sz val="11"/>
        <color theme="1"/>
        <rFont val="Calibri"/>
        <family val="2"/>
      </rPr>
      <t xml:space="preserve">The Australian company Sayona is buying Piedmont Lithium (developer of Carolina Lithium in Gaston County).  CEO of Piedmont Lithium is turning over and Sayona will become parent of a new subsidiary that includes Piedmont Lithium.
</t>
    </r>
    <r>
      <rPr>
        <b/>
        <sz val="11"/>
        <color theme="1"/>
        <rFont val="Calibri"/>
        <family val="2"/>
      </rPr>
      <t xml:space="preserve">Development Plans: Processing Done by the Same Lead Developer/Parent Company: </t>
    </r>
    <r>
      <rPr>
        <sz val="11"/>
        <color theme="1"/>
        <rFont val="Calibri"/>
        <family val="2"/>
      </rPr>
      <t xml:space="preserve">The developer replaced a planned processing plant at the mine site with a new plant in Tennessee ($141.7 million federal grant) with mined ore from Quebec and Ghana util Carolina Lithium is operational; however, in 2024 the developer, facing financial challenges, decided not to proceed with the processing plant in Tennessee.
</t>
    </r>
    <r>
      <rPr>
        <b/>
        <sz val="11"/>
        <color theme="1"/>
        <rFont val="Calibri"/>
        <family val="2"/>
      </rPr>
      <t xml:space="preserve">Financial Support: Public Supply Agreement w/ an Automaker or Battery/Component Producer: </t>
    </r>
    <r>
      <rPr>
        <sz val="11"/>
        <color theme="1"/>
        <rFont val="Calibri"/>
        <family val="2"/>
      </rPr>
      <t xml:space="preserve">The developer in 2020 signed a deal to supply Tesla from Carolina Lithium. Tesla agreed to buy 160,000 tons/year of spodumene for at least five years (the expectation was it would come from the new Gaston County mine); first deliveries were scheduled for July 2022 and July 2023; The Tesla deal was amended in January 2023 to 125,000 tons per year from 2023-2025 (the likely source being Piedmont Lithium’s lithium mine in Quebec, Canada in partnership with Sayona Quebec)
</t>
    </r>
    <r>
      <rPr>
        <b/>
        <sz val="11"/>
        <color theme="1"/>
        <rFont val="Calibri"/>
        <family val="2"/>
      </rPr>
      <t xml:space="preserve">Land Ownership: Type of Land: </t>
    </r>
    <r>
      <rPr>
        <sz val="11"/>
        <color theme="1"/>
        <rFont val="Calibri"/>
        <family val="2"/>
      </rPr>
      <t xml:space="preserve">Company controls 3,100 acres of private land. 
</t>
    </r>
    <r>
      <rPr>
        <b/>
        <sz val="11"/>
        <color theme="1"/>
        <rFont val="Calibri"/>
        <family val="2"/>
      </rPr>
      <t>Litigation: Evidence of Litigation:</t>
    </r>
    <r>
      <rPr>
        <sz val="11"/>
        <color theme="1"/>
        <rFont val="Calibri"/>
        <family val="2"/>
      </rPr>
      <t xml:space="preserve"> On January 18, 2024, the U.S. District Court for the Eastern District of New York granted the developer's motion to dismiss a securities class action lawsuit, originally filed in July 2021, against Piedmont and two of its executives.  Additional shareholder lawsuits are unresolved, where the allegation is that the developer misrepresented the prospects for mining at the site.</t>
    </r>
  </si>
  <si>
    <r>
      <rPr>
        <b/>
        <sz val="11"/>
        <color theme="1"/>
        <rFont val="Calibri"/>
        <family val="2"/>
      </rPr>
      <t xml:space="preserve">Project Description: Existing Mine: </t>
    </r>
    <r>
      <rPr>
        <sz val="11"/>
        <color theme="1"/>
        <rFont val="Calibri"/>
        <family val="2"/>
      </rPr>
      <t xml:space="preserve">Salmon Canyon Mine produced copper-cobalt-gold ore from 1964 to 1979 through underground methods.
</t>
    </r>
    <r>
      <rPr>
        <b/>
        <sz val="11"/>
        <color theme="1"/>
        <rFont val="Calibri"/>
        <family val="2"/>
      </rPr>
      <t xml:space="preserve">Project Description: Status of Project: </t>
    </r>
    <r>
      <rPr>
        <sz val="11"/>
        <color theme="1"/>
        <rFont val="Calibri"/>
        <family val="2"/>
      </rPr>
      <t xml:space="preserve">Koba Resources reports in its FY 2024 Annual Report that no significant work was done at its cobalt projects in FY 2024.
</t>
    </r>
    <r>
      <rPr>
        <b/>
        <sz val="11"/>
        <color theme="1"/>
        <rFont val="Calibri"/>
        <family val="2"/>
      </rPr>
      <t>Location: Additional Location Information: </t>
    </r>
    <r>
      <rPr>
        <sz val="11"/>
        <color theme="1"/>
        <rFont val="Calibri"/>
        <family val="2"/>
      </rPr>
      <t>Located 35 miles from Salmon (pop 3,295, 2023) in central Idaho at the site of the abandoned Canyon Salmon Mine. One mile from the confluence of the Main Salmon River and Middle Fork of the Salmon River.</t>
    </r>
  </si>
  <si>
    <r>
      <rPr>
        <b/>
        <sz val="11"/>
        <color theme="1"/>
        <rFont val="Calibri"/>
        <family val="2"/>
      </rPr>
      <t>Project Description: Status of Project: </t>
    </r>
    <r>
      <rPr>
        <sz val="11"/>
        <color theme="1"/>
        <rFont val="Calibri"/>
        <family val="2"/>
      </rPr>
      <t xml:space="preserve">The developer decided to delay indefinitely because the regulatory risks were too high, given Utah legislature concerns about water levels in Great Lake
</t>
    </r>
    <r>
      <rPr>
        <b/>
        <sz val="11"/>
        <color theme="1"/>
        <rFont val="Calibri"/>
        <family val="2"/>
      </rPr>
      <t xml:space="preserve">Project Description: Regulatory Challenges: </t>
    </r>
    <r>
      <rPr>
        <sz val="11"/>
        <color theme="1"/>
        <rFont val="Calibri"/>
        <family val="2"/>
      </rPr>
      <t xml:space="preserve">In 2023 Utah lawmakers passed HB513, which requires developers to pay a severance tax to a fund for the lake and makes them minimize water use and resupply water to the lake to offset their use.  The practical effect is that the developer must demonstrate that the project will not consume any water, as new state regulations limit water withdrawals from the Great Salt Lake. 
</t>
    </r>
    <r>
      <rPr>
        <b/>
        <sz val="11"/>
        <color theme="1"/>
        <rFont val="Calibri"/>
        <family val="2"/>
      </rPr>
      <t>Location: Additional Location Information:</t>
    </r>
    <r>
      <rPr>
        <sz val="11"/>
        <color theme="1"/>
        <rFont val="Calibri"/>
        <family val="2"/>
      </rPr>
      <t xml:space="preserve"> Existing facility adjacent to the Great Salt Lake in Ogden (pop 87,321, 2020), western Weber County, Utah. 
</t>
    </r>
    <r>
      <rPr>
        <b/>
        <sz val="11"/>
        <color theme="1"/>
        <rFont val="Calibri"/>
        <family val="2"/>
      </rPr>
      <t xml:space="preserve">Financial Support: Public Supply Agreement w/ an Automaker or Battery/Component Producer: </t>
    </r>
    <r>
      <rPr>
        <sz val="11"/>
        <color theme="1"/>
        <rFont val="Calibri"/>
        <family val="2"/>
      </rPr>
      <t>Binding five year agreement had been made with Ford for 40% of total production volume.</t>
    </r>
  </si>
  <si>
    <r>
      <rPr>
        <b/>
        <sz val="11"/>
        <color theme="1"/>
        <rFont val="Calibri"/>
        <family val="2"/>
      </rPr>
      <t xml:space="preserve">Project Description: Status of Project: </t>
    </r>
    <r>
      <rPr>
        <sz val="11"/>
        <color theme="1"/>
        <rFont val="Calibri"/>
        <family val="2"/>
      </rPr>
      <t xml:space="preserve">January 2025: Completed an updated and comprehensive 3D geological and geophysical model for the Project, a major step forward in understanding the basin setting and the structural and lithological controls driving mineralization.  The Company is in the process of submitting an amended NOI with the BLM and additional borehole permits with the Nevada Division of Minerals (DMRE). 
</t>
    </r>
    <r>
      <rPr>
        <b/>
        <sz val="11"/>
        <color theme="1"/>
        <rFont val="Calibri"/>
        <family val="2"/>
      </rPr>
      <t xml:space="preserve">Project Description: Change in Ownership: </t>
    </r>
    <r>
      <rPr>
        <sz val="11"/>
        <color theme="1"/>
        <rFont val="Calibri"/>
        <family val="2"/>
      </rPr>
      <t xml:space="preserve">In 2024 the developer completed the strategic acquisition of Altitude Ventures, secured CA$3.5M in financing, strengthened their corporate and technical teams, and obtained critical water rights and key permits.
</t>
    </r>
    <r>
      <rPr>
        <b/>
        <sz val="11"/>
        <color theme="1"/>
        <rFont val="Calibri"/>
        <family val="2"/>
      </rPr>
      <t xml:space="preserve">Location: Additional Location Information: </t>
    </r>
    <r>
      <rPr>
        <sz val="11"/>
        <color theme="1"/>
        <rFont val="Calibri"/>
        <family val="2"/>
      </rPr>
      <t xml:space="preserve">Near Tonopah, Nevada, 17 miles from Rhyolite Ridge   </t>
    </r>
  </si>
  <si>
    <r>
      <rPr>
        <b/>
        <sz val="11"/>
        <color theme="1"/>
        <rFont val="Calibri"/>
        <family val="2"/>
      </rPr>
      <t xml:space="preserve">Project Description: Mining Method: </t>
    </r>
    <r>
      <rPr>
        <sz val="11"/>
        <color theme="1"/>
        <rFont val="Calibri"/>
        <family val="2"/>
      </rPr>
      <t xml:space="preserve">Open pit in the beginning, underground in second stage.
</t>
    </r>
    <r>
      <rPr>
        <b/>
        <sz val="11"/>
        <color theme="1"/>
        <rFont val="Calibri"/>
        <family val="2"/>
      </rPr>
      <t xml:space="preserve">Project Description: Existing Mine: </t>
    </r>
    <r>
      <rPr>
        <sz val="11"/>
        <color theme="1"/>
        <rFont val="Calibri"/>
        <family val="2"/>
      </rPr>
      <t xml:space="preserve">Began in early 1900s, changed ownership several times.  Abandoned mine purchased by Faraday Copper.
</t>
    </r>
    <r>
      <rPr>
        <b/>
        <sz val="11"/>
        <color theme="1"/>
        <rFont val="Calibri"/>
        <family val="2"/>
      </rPr>
      <t xml:space="preserve">Project Description: Status of Project: </t>
    </r>
    <r>
      <rPr>
        <sz val="11"/>
        <color theme="1"/>
        <rFont val="Calibri"/>
        <family val="2"/>
      </rPr>
      <t xml:space="preserve">BLM approved further drilling in May 2024; Building on its 2023 Preliminary Economic Assessment, the developer announced in May 2024 $15 million in private financing to move the project forward.
</t>
    </r>
    <r>
      <rPr>
        <b/>
        <sz val="11"/>
        <color theme="1"/>
        <rFont val="Calibri"/>
        <family val="2"/>
      </rPr>
      <t xml:space="preserve">Location: Additional Location Information: </t>
    </r>
    <r>
      <rPr>
        <sz val="11"/>
        <color theme="1"/>
        <rFont val="Calibri"/>
        <family val="2"/>
      </rPr>
      <t xml:space="preserve">Located 43 miles northeast of Tucson, 10 miles from town of San Manuel (pop 3,551, 2010) and 6 miles from town of Mammoth (1,650, 2018 est), Arizona. 
</t>
    </r>
    <r>
      <rPr>
        <b/>
        <sz val="11"/>
        <color theme="1"/>
        <rFont val="Calibri"/>
        <family val="2"/>
      </rPr>
      <t xml:space="preserve">Developer Description: Was There Change in Ownership during Project?: </t>
    </r>
    <r>
      <rPr>
        <sz val="11"/>
        <color theme="1"/>
        <rFont val="Calibri"/>
        <family val="2"/>
      </rPr>
      <t xml:space="preserve">Faraday Copper acquired the project in stages, 2018 and 2023.
</t>
    </r>
    <r>
      <rPr>
        <b/>
        <sz val="11"/>
        <color theme="1"/>
        <rFont val="Calibri"/>
        <family val="2"/>
      </rPr>
      <t>Development Plans: Processing Done by the Same Lead Developer/Parent Company:</t>
    </r>
    <r>
      <rPr>
        <sz val="11"/>
        <color theme="1"/>
        <rFont val="Calibri"/>
        <family val="2"/>
      </rPr>
      <t xml:space="preserve"> Preliminary plan is to process onsite.
</t>
    </r>
    <r>
      <rPr>
        <b/>
        <sz val="11"/>
        <color theme="1"/>
        <rFont val="Calibri"/>
        <family val="2"/>
      </rPr>
      <t xml:space="preserve">Land Ownership: Type of Land: </t>
    </r>
    <r>
      <rPr>
        <sz val="11"/>
        <color theme="1"/>
        <rFont val="Calibri"/>
        <family val="2"/>
      </rPr>
      <t>Property includes seven private patented claims, one private land parcel, nine Arizona State Land Department (ASLD) prospecting permits and 325 Bureau of Land Management (BLM) unpatented mining claims</t>
    </r>
  </si>
  <si>
    <r>
      <t>Project Description: Status of Project: </t>
    </r>
    <r>
      <rPr>
        <sz val="11"/>
        <color theme="1"/>
        <rFont val="Calibri"/>
        <family val="2"/>
      </rPr>
      <t>Almost fully permitted, site preparation nearing the construction phase (pending project financing). The developer has projected construction start dates in the past that have not materialized. The latest information issued by the developer indicates the mine could open as soon as the spring of 2026.</t>
    </r>
    <r>
      <rPr>
        <b/>
        <sz val="11"/>
        <color theme="1"/>
        <rFont val="Calibri"/>
        <family val="2"/>
      </rPr>
      <t xml:space="preserve">
Project Description: Regulatory Challenges: </t>
    </r>
    <r>
      <rPr>
        <sz val="11"/>
        <color theme="1"/>
        <rFont val="Calibri"/>
        <family val="2"/>
      </rPr>
      <t xml:space="preserve">Permitting for the mine has sputtered for more than a decade, including multiple air quality permits from the state Department of Environment, Great Lakes and Energy. The last one expired in 2023; another proposal went out for public comment in late 2024.
</t>
    </r>
    <r>
      <rPr>
        <b/>
        <sz val="11"/>
        <color theme="1"/>
        <rFont val="Calibri"/>
        <family val="2"/>
      </rPr>
      <t xml:space="preserve">Location: County: </t>
    </r>
    <r>
      <rPr>
        <sz val="11"/>
        <color theme="1"/>
        <rFont val="Calibri"/>
        <family val="2"/>
      </rPr>
      <t xml:space="preserve">The county is known for the Porcupine Mountains Wilderness State Park, affectionately called the Porkies, which spans about 60,000 acres. There’s North America’s largest ski jump, resorts, and the shore of Lake Superior.
</t>
    </r>
    <r>
      <rPr>
        <b/>
        <sz val="11"/>
        <color theme="1"/>
        <rFont val="Calibri"/>
        <family val="2"/>
      </rPr>
      <t>Location: Additional Location Information:</t>
    </r>
    <r>
      <rPr>
        <sz val="11"/>
        <color theme="1"/>
        <rFont val="Calibri"/>
        <family val="2"/>
      </rPr>
      <t xml:space="preserve"> Located 14 miles and 24 miles from the towns of Wakefield (pop 1,702, 2020) and Ironwood (pop 5,045, 2020), respectively; at south edge of the Keweenaw Copper province, the Porcupine Mountains copper district, western end of upper peninsula of Michigan.
</t>
    </r>
    <r>
      <rPr>
        <b/>
        <sz val="11"/>
        <color theme="1"/>
        <rFont val="Calibri"/>
        <family val="2"/>
      </rPr>
      <t xml:space="preserve">Developer Description: Lead Developer: </t>
    </r>
    <r>
      <rPr>
        <sz val="11"/>
        <color theme="1"/>
        <rFont val="Calibri"/>
        <family val="2"/>
      </rPr>
      <t xml:space="preserve">Owned 100%
</t>
    </r>
    <r>
      <rPr>
        <b/>
        <sz val="11"/>
        <color theme="1"/>
        <rFont val="Calibri"/>
        <family val="2"/>
      </rPr>
      <t>Financial Support: Amount: </t>
    </r>
    <r>
      <rPr>
        <sz val="11"/>
        <color theme="1"/>
        <rFont val="Calibri"/>
        <family val="2"/>
      </rPr>
      <t>The state (Michigan Strategic Fund) is currently considering a $50 million grant for infrastructure, conditional on the developer raising $150 million in private-sector support by December 2025.</t>
    </r>
  </si>
  <si>
    <r>
      <rPr>
        <b/>
        <sz val="11"/>
        <color theme="1"/>
        <rFont val="Calibri"/>
        <family val="2"/>
      </rPr>
      <t xml:space="preserve">Project Description: Mining Method: </t>
    </r>
    <r>
      <rPr>
        <sz val="11"/>
        <color theme="1"/>
        <rFont val="Calibri"/>
        <family val="2"/>
      </rPr>
      <t xml:space="preserve">Open-pit.
</t>
    </r>
    <r>
      <rPr>
        <b/>
        <sz val="11"/>
        <color theme="1"/>
        <rFont val="Calibri"/>
        <family val="2"/>
      </rPr>
      <t xml:space="preserve">Project Description: Co-Producing Materials: </t>
    </r>
    <r>
      <rPr>
        <sz val="11"/>
        <color theme="1"/>
        <rFont val="Calibri"/>
        <family val="2"/>
      </rPr>
      <t xml:space="preserve">Molybdenum is an important metal used primarily in high-quality steel applications, for strength, corrosion resistance and other properties. Since molybdenum prices are roughly 5 times the price of copper, and the developer expects that somewhat equivalent volumes of both metals will be produced, molybdenum may provide the bulk of the revenue generated. Silver will contribute a much smaller share of the revenue.  The ore at CuMo also contains recoverable rhenium (a defense metal) and tungsten.
</t>
    </r>
    <r>
      <rPr>
        <b/>
        <sz val="11"/>
        <color theme="1"/>
        <rFont val="Calibri"/>
        <family val="2"/>
      </rPr>
      <t>Project Description: Status of Project: </t>
    </r>
    <r>
      <rPr>
        <sz val="11"/>
        <color theme="1"/>
        <rFont val="Calibri"/>
        <family val="2"/>
      </rPr>
      <t xml:space="preserve">Exploration. USFS decision on Plan of Operations due 2025, which would facilitate more exploratory drilling.Most of the previous exploration was done between the late 1990s and 2012, the year of the last drilling. The developer started a Preliminary Economic Assessment in 2024, completion is due 1Q 2025.  
</t>
    </r>
    <r>
      <rPr>
        <b/>
        <sz val="11"/>
        <color theme="1"/>
        <rFont val="Calibri"/>
        <family val="2"/>
      </rPr>
      <t xml:space="preserve">Project Description: Regulatory Challenges: </t>
    </r>
    <r>
      <rPr>
        <sz val="11"/>
        <color theme="1"/>
        <rFont val="Calibri"/>
        <family val="2"/>
      </rPr>
      <t xml:space="preserve">The Project has a complex regulatory history, even though the developer has not yet completed exploration. The original USFS environmental assessment lost in court in 2012 to a lawsuit by environmental groups.  The prior owner then moved the Project through a Supplemental Environmental Assessment (SEA) that concluded in October 2015 with a Finding of No Significant Impact and a favorable Decision Notice from USFS on exploratory drilling. But, USFS is now redoing the SEA because of another judicial reversal and submission of a new plan by the current developer.  The new plan contains environmental protection measures such as dust abatement and all roads are located at least 500 feet slope distance from perennial streams such as Grimes Creek.  Special measures in the plan include spill containment, which the plan said will be provided at all gasoline-powered pumps near streams or water sources. The drill systems will also operate on a “closed system,” meaning fluids are mixed at the drill site, sent directly down the drill pipe, and return fluids recirculate back up the hole. The plan said the fluid products are non-toxic or biodegradable. The developer will also monitor surface and groundwater, and will continue to analyze and study LESA (Sacajawea’s bitterroot), ensuring the overall population will not be threatened or endangered during project operations. Even if USFS approves the plan, more litigation seems likely.  
</t>
    </r>
    <r>
      <rPr>
        <b/>
        <sz val="11"/>
        <color theme="1"/>
        <rFont val="Calibri"/>
        <family val="2"/>
      </rPr>
      <t>Location: Additional Location Information: </t>
    </r>
    <r>
      <rPr>
        <sz val="11"/>
        <color theme="1"/>
        <rFont val="Calibri"/>
        <family val="2"/>
      </rPr>
      <t xml:space="preserve">Located 3 miles east of Grimes Pass (pop 192, 2020), 14 miles north of Idaho City,  40 miles northwest of Boise, southern Idaho.
</t>
    </r>
    <r>
      <rPr>
        <b/>
        <sz val="11"/>
        <color theme="1"/>
        <rFont val="Calibri"/>
        <family val="2"/>
      </rPr>
      <t>Developer Description: Was There Change in Ownership during Project?: </t>
    </r>
    <r>
      <rPr>
        <sz val="11"/>
        <color theme="1"/>
        <rFont val="Calibri"/>
        <family val="2"/>
      </rPr>
      <t xml:space="preserve">IC separated from American CuMo Mining Corporation in 2018.
</t>
    </r>
    <r>
      <rPr>
        <b/>
        <sz val="11"/>
        <color theme="1"/>
        <rFont val="Calibri"/>
        <family val="2"/>
      </rPr>
      <t>Development Plans: Planned Production Capacity:</t>
    </r>
    <r>
      <rPr>
        <sz val="11"/>
        <color theme="1"/>
        <rFont val="Calibri"/>
        <family val="2"/>
      </rPr>
      <t xml:space="preserve"> Projected initial yearly copper output through a sulfide concentrator may be in the range of 30 million pounds, molybdenum up to 50 million pounds, with about a million ounces of silver.   
</t>
    </r>
    <r>
      <rPr>
        <b/>
        <sz val="11"/>
        <color theme="1"/>
        <rFont val="Calibri"/>
        <family val="2"/>
      </rPr>
      <t xml:space="preserve">Land Ownership: Type of Land: </t>
    </r>
    <r>
      <rPr>
        <sz val="11"/>
        <color theme="1"/>
        <rFont val="Calibri"/>
        <family val="2"/>
      </rPr>
      <t xml:space="preserve">Public (USFS), located in Boise National Forest.  The project currently consists of 126 federal unpatented lode mining claims, and 6 patented mining claims. In total, the project comprises approximately 2,640 acres.
</t>
    </r>
    <r>
      <rPr>
        <b/>
        <sz val="11"/>
        <color theme="1"/>
        <rFont val="Calibri"/>
        <family val="2"/>
      </rPr>
      <t>Litigation Evidence of Litigation:</t>
    </r>
    <r>
      <rPr>
        <sz val="11"/>
        <color theme="1"/>
        <rFont val="Calibri"/>
        <family val="2"/>
      </rPr>
      <t xml:space="preserve"> In 2012, the U.S. District Court for the District of Idaho found that the Forest Service had not adequately analyzed the groundwater issues associated with exploration.  he USFS revised the environmental analysis and approved the exploration plan again in 2015.  In the supplemental environmental assessment, USFS and the developer decided to go with an alternative B project which was a “reduced roads” option, intended to address concerns over potential erosion and sedimentation to Grimes Creek. Grimes Creek feeds into Mores Creek, which feeds into Lucky Peak Reservoir. Three environmental organizations filed another lawsuit in early 2016. This time, the court said that the Forest Service had adequately looked at groundwater impacts and had addressed the Idaho Department of Environmental Quality’s concerns about degraded water quality, but did no not adequately determine the impacts on Sacajawea’s bitterroot (a rare, beautiful plant that occurs only in central Idaho).  </t>
    </r>
  </si>
  <si>
    <r>
      <rPr>
        <b/>
        <sz val="11"/>
        <color theme="1"/>
        <rFont val="Calibri"/>
        <family val="2"/>
      </rPr>
      <t>Project Description: Status of Project: </t>
    </r>
    <r>
      <rPr>
        <sz val="11"/>
        <color theme="1"/>
        <rFont val="Calibri"/>
        <family val="2"/>
      </rPr>
      <t xml:space="preserve">Only active nickel mine in the United States.  Production began 2014; shutdown scheduled for 2029 unless new reserves are discovered.
</t>
    </r>
    <r>
      <rPr>
        <b/>
        <sz val="11"/>
        <color theme="1"/>
        <rFont val="Arial"/>
        <family val="2"/>
      </rPr>
      <t xml:space="preserve">Project Description: Regulatory Challenges: </t>
    </r>
    <r>
      <rPr>
        <sz val="11"/>
        <color theme="1"/>
        <rFont val="Arial"/>
        <family val="2"/>
      </rPr>
      <t xml:space="preserve">From discovery of the deposit in 2003, it took almost 15 years before mining began. Environmental and indigenous groups mounted spirited opposition, including litigation. The Michigan Court of Appeals upheld the mine’s operating and water permits in August, 2013. 
</t>
    </r>
    <r>
      <rPr>
        <b/>
        <sz val="11"/>
        <color theme="1"/>
        <rFont val="Arial"/>
        <family val="2"/>
      </rPr>
      <t>Location: Additional Location Information: </t>
    </r>
    <r>
      <rPr>
        <sz val="11"/>
        <color theme="1"/>
        <rFont val="Arial"/>
        <family val="2"/>
      </rPr>
      <t xml:space="preserve">The mine is located in Western Marquette County, Upper Peninsula, Michigan; closest town is Big Bay (pop 257, 2020), 15 miles; Marquette (pop 20,629, 2020) is 33 miles away. Ore from the Eagle mine is trucked to the Humboldt mill, site of a former iron ore processing facility, for processing into concentrates. The Humboldt mill is approximately 37 miles west of Marquette.
</t>
    </r>
    <r>
      <rPr>
        <b/>
        <sz val="11"/>
        <color theme="1"/>
        <rFont val="Calibri"/>
        <family val="2"/>
      </rPr>
      <t xml:space="preserve">Developer Description: Was There Change in Ownership during Project?: </t>
    </r>
    <r>
      <rPr>
        <sz val="11"/>
        <color theme="1"/>
        <rFont val="Calibri"/>
        <family val="2"/>
      </rPr>
      <t xml:space="preserve">Lundin purchased Eagle Creek from Kennecott (Rio Tinto) in 2013.
</t>
    </r>
    <r>
      <rPr>
        <b/>
        <sz val="11"/>
        <color theme="1"/>
        <rFont val="Calibri"/>
        <family val="2"/>
      </rPr>
      <t xml:space="preserve">Development Plans: Processing Plan in US: </t>
    </r>
    <r>
      <rPr>
        <sz val="11"/>
        <color theme="1"/>
        <rFont val="Calibri"/>
        <family val="2"/>
      </rPr>
      <t xml:space="preserve">Processing at the  nearby Humboldt Mill.
</t>
    </r>
    <r>
      <rPr>
        <b/>
        <sz val="11"/>
        <color theme="1"/>
        <rFont val="Calibri"/>
        <family val="2"/>
      </rPr>
      <t>Financial Support: Federal Agency:</t>
    </r>
    <r>
      <rPr>
        <sz val="11"/>
        <color theme="1"/>
        <rFont val="Calibri"/>
        <family val="2"/>
      </rPr>
      <t xml:space="preserve">The U.S. Department of Energy (DOE) has selected REV Nickel for an award up to $145 million. The REV Nickel Project, in partnership with Revex Technologies, will produce nickel concentrate and other valuable U.S.-sourced critical minerals from metal-bearing waste streams, including discarded mine tailings and spent lithium-ion batteries. The recipient of the this funding is not the developer of the mine.
</t>
    </r>
    <r>
      <rPr>
        <b/>
        <sz val="11"/>
        <color theme="1"/>
        <rFont val="Calibri"/>
        <family val="2"/>
      </rPr>
      <t>Litigation: Evidence of Litigation:</t>
    </r>
    <r>
      <rPr>
        <sz val="11"/>
        <color theme="1"/>
        <rFont val="Calibri"/>
        <family val="2"/>
      </rPr>
      <t xml:space="preserve"> A coalition of national and local environmental groups and local tribes challenged both the state operating permit and the state water permit.  The litigation ended when the Michigan Court of Appeals affirmed both permits in August 2013. One lawsuit addressed that state operating permit; the other addressed the state water permit.</t>
    </r>
  </si>
  <si>
    <r>
      <rPr>
        <b/>
        <sz val="11"/>
        <color theme="1"/>
        <rFont val="Calibri"/>
        <family val="2"/>
      </rPr>
      <t xml:space="preserve">Project Description: Existing Mine: </t>
    </r>
    <r>
      <rPr>
        <sz val="11"/>
        <color theme="1"/>
        <rFont val="Calibri"/>
        <family val="2"/>
      </rPr>
      <t xml:space="preserve">Mine closed in 1960, town of Harshaw was then abandoned.
</t>
    </r>
    <r>
      <rPr>
        <b/>
        <sz val="11"/>
        <color theme="1"/>
        <rFont val="Calibri"/>
        <family val="2"/>
      </rPr>
      <t xml:space="preserve">Project Description: Status of Project: </t>
    </r>
    <r>
      <rPr>
        <sz val="11"/>
        <color theme="1"/>
        <rFont val="Calibri"/>
        <family val="2"/>
      </rPr>
      <t xml:space="preserve">Exploratory drilling was completed in 2024, and the project is awaiting permits for further development.
</t>
    </r>
    <r>
      <rPr>
        <b/>
        <sz val="11"/>
        <color theme="1"/>
        <rFont val="Calibri"/>
        <family val="2"/>
      </rPr>
      <t>Location: Additional Location Information: </t>
    </r>
    <r>
      <rPr>
        <sz val="11"/>
        <color theme="1"/>
        <rFont val="Calibri"/>
        <family val="2"/>
      </rPr>
      <t xml:space="preserve"> Located in Cuyuna Iron Range near small town of Cuyuna (pop 296, 2020) in central Minnesota, 90 miles west of Duluth.
</t>
    </r>
    <r>
      <rPr>
        <b/>
        <sz val="11"/>
        <color theme="1"/>
        <rFont val="Calibri"/>
        <family val="2"/>
      </rPr>
      <t xml:space="preserve">Developer Description: Was There Change in Ownership during Project?: </t>
    </r>
    <r>
      <rPr>
        <sz val="11"/>
        <color theme="1"/>
        <rFont val="Calibri"/>
        <family val="2"/>
      </rPr>
      <t xml:space="preserve">South32 purchased the land in 2018 from Arizona Mining.
</t>
    </r>
    <r>
      <rPr>
        <b/>
        <sz val="11"/>
        <color theme="1"/>
        <rFont val="Calibri"/>
        <family val="2"/>
      </rPr>
      <t xml:space="preserve">Development Plans: Processing Plan in US: </t>
    </r>
    <r>
      <rPr>
        <sz val="11"/>
        <color theme="1"/>
        <rFont val="Calibri"/>
        <family val="2"/>
      </rPr>
      <t>Processing either in Mexico or Canada.</t>
    </r>
  </si>
  <si>
    <r>
      <rPr>
        <b/>
        <sz val="11"/>
        <color theme="1"/>
        <rFont val="Calibri"/>
        <family val="2"/>
      </rPr>
      <t xml:space="preserve">Project Description: Status of Project: </t>
    </r>
    <r>
      <rPr>
        <sz val="11"/>
        <color theme="1"/>
        <rFont val="Calibri"/>
        <family val="2"/>
      </rPr>
      <t xml:space="preserve">The Flux Project was permitted for seven drill sites and, at this time (May 2024), has drilled on four of them. Remediation work has begun on both the new access roads and on the pads.  So far, the Flux Project has cut short access roads to four new pads, and finished drill work on them. Community outreach began in 2019.
</t>
    </r>
    <r>
      <rPr>
        <b/>
        <sz val="11"/>
        <color theme="1"/>
        <rFont val="Calibri"/>
        <family val="2"/>
      </rPr>
      <t xml:space="preserve">Location: Additional Location Information: </t>
    </r>
    <r>
      <rPr>
        <sz val="11"/>
        <color theme="1"/>
        <rFont val="Calibri"/>
        <family val="2"/>
      </rPr>
      <t xml:space="preserve">Located 4 miles south of Patagonia (pop 804, 2020) in southern Arizona, southern Patagonia Mountains, on ridge between Flux Canyon and Alum Gulch.
</t>
    </r>
    <r>
      <rPr>
        <b/>
        <sz val="11"/>
        <color theme="1"/>
        <rFont val="Calibri"/>
        <family val="2"/>
      </rPr>
      <t xml:space="preserve">Developer Description: Lead Developer: </t>
    </r>
    <r>
      <rPr>
        <sz val="11"/>
        <color theme="1"/>
        <rFont val="Calibri"/>
        <family val="2"/>
      </rPr>
      <t xml:space="preserve">South 32 purchased Arizona Mining Inc.
</t>
    </r>
    <r>
      <rPr>
        <b/>
        <sz val="11"/>
        <color theme="1"/>
        <rFont val="Calibri"/>
        <family val="2"/>
      </rPr>
      <t xml:space="preserve">Land Ownership: Type of Land: </t>
    </r>
    <r>
      <rPr>
        <sz val="11"/>
        <color theme="1"/>
        <rFont val="Calibri"/>
        <family val="2"/>
      </rPr>
      <t xml:space="preserve">Coronado National Forest (USFS). 
</t>
    </r>
    <r>
      <rPr>
        <b/>
        <sz val="11"/>
        <color theme="1"/>
        <rFont val="Calibri"/>
        <family val="2"/>
      </rPr>
      <t xml:space="preserve">Litigation: Evidence of Litigation: </t>
    </r>
    <r>
      <rPr>
        <sz val="11"/>
        <color theme="1"/>
        <rFont val="Calibri"/>
        <family val="2"/>
      </rPr>
      <t>Eight local and national conservation groups  joined together to sue the Forest Service alleging the project's permits were wrongfully issued. The groups were represented by attorneys from EarthJustice. The Forest Service ultimately won the case. Local, regional and national environmental groups are now challenging the recent exploratory drilling permit issued by USFS.  Their quest for a preliminary injunction against drilling did not succeed in the courts, and the case was being heard on the merits as of late 2024.</t>
    </r>
  </si>
  <si>
    <r>
      <rPr>
        <b/>
        <sz val="11"/>
        <color theme="1"/>
        <rFont val="Calibri"/>
        <family val="2"/>
      </rPr>
      <t>Project Description: Status of Project: </t>
    </r>
    <r>
      <rPr>
        <sz val="11"/>
        <color theme="1"/>
        <rFont val="Calibri"/>
        <family val="2"/>
      </rPr>
      <t xml:space="preserve">The developer announced in June 2024 a field program for 2024 that would collect the required data, including additional drilling, for a prefeasibility study, which is expected to be completed in early 2025.
</t>
    </r>
    <r>
      <rPr>
        <b/>
        <sz val="11"/>
        <color theme="1"/>
        <rFont val="Calibri"/>
        <family val="2"/>
      </rPr>
      <t xml:space="preserve">Project Description: Regulatory Challenges: </t>
    </r>
    <r>
      <rPr>
        <sz val="11"/>
        <color theme="1"/>
        <rFont val="Calibri"/>
        <family val="2"/>
      </rPr>
      <t xml:space="preserve">Most of the permitting will be handled by the State of Alaska.  However, the project necessitates the construction of a road network to the property (e.g., a new road network through the Arctic from Nome to the mine site).   A previous effort to obtain the federal wetlands permit from the Corps was not successful. In 2018 local community and environmental opposition led to a delay in the Corps deliberations and a temporary loss of state funding for the project. The developer is expected to make another effort to obtain the federal wetlands permit.  
</t>
    </r>
    <r>
      <rPr>
        <b/>
        <sz val="11"/>
        <color theme="1"/>
        <rFont val="Calibri"/>
        <family val="2"/>
      </rPr>
      <t>Location: Additional Location Information: </t>
    </r>
    <r>
      <rPr>
        <sz val="11"/>
        <color theme="1"/>
        <rFont val="Calibri"/>
        <family val="2"/>
      </rPr>
      <t xml:space="preserve">Located on the Seward Peninsula (Bering Strait), 35 miles north of town of Nome (pop 3,699, 2020), Alaska, near the Arctic Circle. 
</t>
    </r>
    <r>
      <rPr>
        <b/>
        <sz val="11"/>
        <color theme="1"/>
        <rFont val="Calibri"/>
        <family val="2"/>
      </rPr>
      <t>Development Plans: Processing Plan in US:</t>
    </r>
    <r>
      <rPr>
        <sz val="11"/>
        <color theme="1"/>
        <rFont val="Calibri"/>
        <family val="2"/>
      </rPr>
      <t xml:space="preserve"> Processing to be conducted in Niles, Ohio.
</t>
    </r>
    <r>
      <rPr>
        <b/>
        <sz val="11"/>
        <color theme="1"/>
        <rFont val="Calibri"/>
        <family val="2"/>
      </rPr>
      <t>Financial Support: Federal Agency:</t>
    </r>
    <r>
      <rPr>
        <sz val="11"/>
        <color theme="1"/>
        <rFont val="Calibri"/>
        <family val="2"/>
      </rPr>
      <t xml:space="preserve"> DOD grant of $37.5 million.  However, the grant has led to a consultation controversy.  Three tribal governments (Telles, Brevig Mission, anermit;  In 2018 local community opposition to the road network led to a temporary loss of state funding and diminished prospects for the Army Corps pd Mary Igloo) stated in December 2023 that the Biden Department of Defense violated its own consultation principles when it awarded the $37.5 million grant to the developer for the proposed graphite mine in Alaska.  The grant was announced in July 2023 but DOD never responded to three independent letters from the three tribes.  In December 2023 the tribes disclosed the letters, which were written with the assistance of the environmental law firm Trustees for Alaska.</t>
    </r>
  </si>
  <si>
    <r>
      <rPr>
        <b/>
        <sz val="11"/>
        <color theme="1"/>
        <rFont val="Calibri"/>
        <family val="2"/>
      </rPr>
      <t xml:space="preserve">Location: Additional Location Information: </t>
    </r>
    <r>
      <rPr>
        <sz val="11"/>
        <color theme="1"/>
        <rFont val="Calibri"/>
        <family val="2"/>
      </rPr>
      <t xml:space="preserve">Near Green River (pop 827, 2020), a small community along Interstate 70, in Emery County, southeastern Utah. The Green River lithium project, which abuts the Green River, is located 32 miles from the same developer’s Paradox lithium project.
</t>
    </r>
    <r>
      <rPr>
        <b/>
        <sz val="11"/>
        <color theme="1"/>
        <rFont val="Calibri"/>
        <family val="2"/>
      </rPr>
      <t xml:space="preserve">Litigation: Evidence of Litigation: </t>
    </r>
    <r>
      <rPr>
        <sz val="11"/>
        <color theme="1"/>
        <rFont val="Calibri"/>
        <family val="2"/>
      </rPr>
      <t>Lawsuit filed In Utah’s 7th District Court in Moab against the Utah Division of Water Rights by environmental groups and nearby residents. The lawsuit claims that decision should be invalidated because the project could impair existing water rights, while interfering with “the more beneficial use of the water.” The company also hasn’t filed “a contract for payment of royalties” which is required by the state, the complaint alleges. And, the project is “detrimental to the public welfare,” with the lawsuit arguing the state is unable “to assess the legitimacy of Blackstone’s claims related to direct lithium extraction and its impacts on water consumption and water rights.”</t>
    </r>
  </si>
  <si>
    <r>
      <rPr>
        <b/>
        <sz val="11"/>
        <color theme="1"/>
        <rFont val="Calibri"/>
        <family val="2"/>
      </rPr>
      <t>Project Description: Status of Project: </t>
    </r>
    <r>
      <rPr>
        <sz val="11"/>
        <color theme="1"/>
        <rFont val="Calibri"/>
        <family val="2"/>
      </rPr>
      <t xml:space="preserve">2024 drilling program confirmed promise of the Ram deposit.
</t>
    </r>
    <r>
      <rPr>
        <b/>
        <sz val="11"/>
        <color theme="1"/>
        <rFont val="Calibri"/>
        <family val="2"/>
      </rPr>
      <t>Location: Additional Location Information: </t>
    </r>
    <r>
      <rPr>
        <sz val="11"/>
        <color theme="1"/>
        <rFont val="Calibri"/>
        <family val="2"/>
      </rPr>
      <t xml:space="preserve">Located approximately 40 miles west of Salmon (pop 3,295, 2023) in the Salmon-Challis Forest near Cobalt (pop 13, 2020), central Idaho. The site is adjacent to the inactive Blackbird mine. </t>
    </r>
  </si>
  <si>
    <r>
      <rPr>
        <b/>
        <sz val="11"/>
        <color theme="1"/>
        <rFont val="Calibri"/>
        <family val="2"/>
      </rPr>
      <t>Project Description: Status of Project:</t>
    </r>
    <r>
      <rPr>
        <sz val="11"/>
        <color theme="1"/>
        <rFont val="Calibri"/>
        <family val="2"/>
      </rPr>
      <t xml:space="preserve"> In November 2024 the developer acquired a 10-year permit from the USFS for exploration in and around its Iron Creek project at the eastern end of the Idaho Cobalt Belt. The developer has planned more drilling activities outside of the current resource area over the next two years. The Preliminary Economic Assessment is anticipated to begin shortly (June 2024).
</t>
    </r>
    <r>
      <rPr>
        <b/>
        <sz val="11"/>
        <color theme="1"/>
        <rFont val="Calibri"/>
        <family val="2"/>
      </rPr>
      <t>Location: Additional Location Information: </t>
    </r>
    <r>
      <rPr>
        <sz val="11"/>
        <color theme="1"/>
        <rFont val="Calibri"/>
        <family val="2"/>
      </rPr>
      <t xml:space="preserve">Located about 18 miles southwest of Salmon (3,295, 2023) in central Idaho, within the historic Blackbird cobalt-copper district of the Idaho Cobalt Belt. Iron Creek is a tributary creek that drains from the Salmon River Mountains in the west into the Salmon River. The Property encompasses the North Fork of Iron Creek.  
</t>
    </r>
    <r>
      <rPr>
        <b/>
        <sz val="11"/>
        <color theme="1"/>
        <rFont val="Calibri"/>
        <family val="2"/>
      </rPr>
      <t xml:space="preserve">Developer Description: Lead Developer: </t>
    </r>
    <r>
      <rPr>
        <sz val="11"/>
        <color theme="1"/>
        <rFont val="Calibri"/>
        <family val="2"/>
      </rPr>
      <t>Formerly known as First Cobalt Corp, Electra purchased Iron Creek Property in 2018.</t>
    </r>
    <r>
      <rPr>
        <b/>
        <sz val="11"/>
        <color theme="1"/>
        <rFont val="Calibri"/>
        <family val="2"/>
      </rPr>
      <t xml:space="preserve">
Development Plans: Planned Production Capacity: </t>
    </r>
    <r>
      <rPr>
        <sz val="11"/>
        <color theme="1"/>
        <rFont val="Calibri"/>
        <family val="2"/>
      </rPr>
      <t xml:space="preserve">The planned production level from the Ontario refinery is 6,500 metric tons per year of battery-grade cobalt sulfate per year.  But not all of that output will come from mined material from the Iron Creek Project.  
</t>
    </r>
    <r>
      <rPr>
        <b/>
        <sz val="11"/>
        <color theme="1"/>
        <rFont val="Calibri"/>
        <family val="2"/>
      </rPr>
      <t>Financial Support: Federal Agency:</t>
    </r>
    <r>
      <rPr>
        <sz val="11"/>
        <color theme="1"/>
        <rFont val="Calibri"/>
        <family val="2"/>
      </rPr>
      <t xml:space="preserve"> In August 2024, the U.S. Department of Defense (DOD) awarded the developer $20 million to complete the construction and commissioning of North America's only refinery capable of producing cobalt sulfate, along with other materials needed for lithium-ion batteries. The developer also has a grant from the Canadian government. In June 2024, NRCan invested $3.6 million toward a battery materials recycling plant being built alongside the Ontario Cobalt Refinery. This recycling operation will be able to recover high-quality lithium, nickel, cobalt, manganese, and graphite from black mass, a powder-like material produced when lithium-ion batteries are shredded for recycling.
</t>
    </r>
    <r>
      <rPr>
        <b/>
        <sz val="11"/>
        <color theme="1"/>
        <rFont val="Calibri"/>
        <family val="2"/>
      </rPr>
      <t xml:space="preserve">Financial Support: Public Supply Agreement w/ an Automaker or Battery/Component Producer: </t>
    </r>
    <r>
      <rPr>
        <sz val="11"/>
        <color theme="1"/>
        <rFont val="Calibri"/>
        <family val="2"/>
      </rPr>
      <t>In July  2023, the developer announced that its battery-grade cobalt sulfate agreement with LG Energy Solution, a leading global manufacturer of lithium-ion batteries, had been extended and expanded from the initial terms. The agreement now provides for the supply of 19,000 tonnes of cobalt contained in sulfate beginning in 2025. The total will represent up to 80% of the developer's expected annual production.</t>
    </r>
  </si>
  <si>
    <r>
      <rPr>
        <b/>
        <sz val="11"/>
        <color theme="1"/>
        <rFont val="Calibri"/>
        <family val="2"/>
      </rPr>
      <t>Project Description: Status of Project:</t>
    </r>
    <r>
      <rPr>
        <sz val="11"/>
        <color theme="1"/>
        <rFont val="Calibri"/>
        <family val="2"/>
      </rPr>
      <t xml:space="preserve"> In March 2024 the developer launched environmental baseline surveys as it grapples with some tenacious opposition to its request for an exploratory drilling permit. 
</t>
    </r>
    <r>
      <rPr>
        <b/>
        <sz val="11"/>
        <color theme="1"/>
        <rFont val="Calibri"/>
        <family val="2"/>
      </rPr>
      <t xml:space="preserve">Project Description: Regulatory Challenges: </t>
    </r>
    <r>
      <rPr>
        <sz val="11"/>
        <color theme="1"/>
        <rFont val="Calibri"/>
        <family val="2"/>
      </rPr>
      <t xml:space="preserve">A permit for exploratory drilling was granted but then revoked due to environmental (water-related) concerns raised jointly by county officials and an environmental group.  A more limited exploration plan was then submitted by the developer, and is under review by BLM. Meanwhile, County officials are trying to persuade the Department of Interior and the Congress to withdraw nearby lands from development activity due to environmental concerns.      
</t>
    </r>
    <r>
      <rPr>
        <b/>
        <sz val="11"/>
        <color theme="1"/>
        <rFont val="Calibri"/>
        <family val="2"/>
      </rPr>
      <t xml:space="preserve">Location: Additional Location Information: </t>
    </r>
    <r>
      <rPr>
        <sz val="11"/>
        <color theme="1"/>
        <rFont val="Calibri"/>
        <family val="2"/>
      </rPr>
      <t xml:space="preserve">Located near Pahrump (pop 44,738, 2022) on the border of Nevada and California near the Mojave Desert; on the edge of Ash Meadow National Wildlife Refuge in southern Nevada, about 70 miles northwest of Las Vegas.  
</t>
    </r>
    <r>
      <rPr>
        <b/>
        <sz val="11"/>
        <color theme="1"/>
        <rFont val="Calibri"/>
        <family val="2"/>
      </rPr>
      <t xml:space="preserve">Land Ownership: Type of Land: </t>
    </r>
    <r>
      <rPr>
        <sz val="11"/>
        <color theme="1"/>
        <rFont val="Calibri"/>
        <family val="2"/>
      </rPr>
      <t xml:space="preserve">Developer acquired an additional 2,400 acres that allowed abandonment of certain existing mining claims that border the ACEC boundary of Ash Meadows. This moves the core of the LGL project further away from Ash Meadows and sends a clear message that the developer is committed to developing the project in a manner that is sustainable for the surrounding area.
</t>
    </r>
    <r>
      <rPr>
        <b/>
        <sz val="11"/>
        <color theme="1"/>
        <rFont val="Calibri"/>
        <family val="2"/>
      </rPr>
      <t>Litigation: Evidence of Litigation:</t>
    </r>
    <r>
      <rPr>
        <sz val="11"/>
        <color theme="1"/>
        <rFont val="Calibri"/>
        <family val="2"/>
      </rPr>
      <t xml:space="preserve"> The Center for Biological Diversity and the Amargosa Conservancy sued BLM for failing to consult with other federal agencies such as the US Fish and Wildlife Service concerning species protection under the Endangered Species Act. The lawsuit was not resolved because BLM withdrew its initial approval of the drilling plan. </t>
    </r>
  </si>
  <si>
    <r>
      <rPr>
        <b/>
        <sz val="11"/>
        <color theme="1"/>
        <rFont val="Calibri"/>
        <family val="2"/>
      </rPr>
      <t>Project Description: Status of Project: </t>
    </r>
    <r>
      <rPr>
        <sz val="11"/>
        <color theme="1"/>
        <rFont val="Calibri"/>
        <family val="2"/>
      </rPr>
      <t xml:space="preserve">Lilac Solutions released a technical white paper in June 2024 showing that its new DLE technology has 50% lower capital costs than previously estimated and longer durability (4,000 cycles).  The company also predicted that its pilot plant at Great Salt Lake will be running in October 2024. The company's plan is to scale up commercial operations to extract 3,000 tons of lithium from the lake annually by 2026. 
</t>
    </r>
    <r>
      <rPr>
        <b/>
        <sz val="11"/>
        <color theme="1"/>
        <rFont val="Calibri"/>
        <family val="2"/>
      </rPr>
      <t xml:space="preserve">Project Description: Regulatory Challenges: </t>
    </r>
    <r>
      <rPr>
        <sz val="11"/>
        <color theme="1"/>
        <rFont val="Calibri"/>
        <family val="2"/>
      </rPr>
      <t xml:space="preserve">The State of Utah placed a moratorium on water withdrawals from the Great Salt Lake. 
</t>
    </r>
    <r>
      <rPr>
        <b/>
        <sz val="11"/>
        <color theme="1"/>
        <rFont val="Calibri"/>
        <family val="2"/>
      </rPr>
      <t>Location: Additional Location Information: </t>
    </r>
    <r>
      <rPr>
        <sz val="11"/>
        <color theme="1"/>
        <rFont val="Calibri"/>
        <family val="2"/>
      </rPr>
      <t xml:space="preserve">The facility is planned for somewhere on the Promontory Point peninsula, near Brigham City (19,650, 2020), Utah, on the Great Salt Lake’s saltier northern arm.
</t>
    </r>
    <r>
      <rPr>
        <b/>
        <sz val="11"/>
        <color theme="1"/>
        <rFont val="Calibri"/>
        <family val="2"/>
      </rPr>
      <t xml:space="preserve">Financial Support: Federal Agency: </t>
    </r>
    <r>
      <rPr>
        <sz val="11"/>
        <color theme="1"/>
        <rFont val="Calibri"/>
        <family val="2"/>
      </rPr>
      <t xml:space="preserve">$50 m from DOE for a commercial-scale DLE demonstration plant
</t>
    </r>
    <r>
      <rPr>
        <b/>
        <sz val="11"/>
        <color theme="1"/>
        <rFont val="Calibri"/>
        <family val="2"/>
      </rPr>
      <t xml:space="preserve">Financial Support: Public Supply Agreement w/ an Automaker or Battery/Component Producer: </t>
    </r>
    <r>
      <rPr>
        <sz val="11"/>
        <color theme="1"/>
        <rFont val="Calibri"/>
        <family val="2"/>
      </rPr>
      <t xml:space="preserve">Binding five year agreement with Ford for 40% of total production volume. In 2024 Lilac reported $145 million in new private financing, which will go toward scaling operations. </t>
    </r>
  </si>
  <si>
    <r>
      <rPr>
        <b/>
        <sz val="11"/>
        <color theme="1"/>
        <rFont val="Calibri"/>
        <family val="2"/>
      </rPr>
      <t xml:space="preserve">Project Description: Mining Method: </t>
    </r>
    <r>
      <rPr>
        <sz val="11"/>
        <color theme="1"/>
        <rFont val="Calibri"/>
        <family val="2"/>
      </rPr>
      <t xml:space="preserve">Open pit method processing ore using sulphation roasting to produce battery-grade lithium carbonate.
</t>
    </r>
    <r>
      <rPr>
        <b/>
        <sz val="11"/>
        <color theme="1"/>
        <rFont val="Calibri"/>
        <family val="2"/>
      </rPr>
      <t>Project Description: Status of Project: </t>
    </r>
    <r>
      <rPr>
        <sz val="11"/>
        <color theme="1"/>
        <rFont val="Calibri"/>
        <family val="2"/>
      </rPr>
      <t xml:space="preserve">The developer is completing technical and financial studies to support a new resource estimate and update metallurgical understanding; A pre-feasibility study was in progress in 2024; In April 2025, BLM approved exploration at the McDermitt project despite community concerns.; In 2025, this project was added by the Trump administration to the FAST-41 dashboard to accelerate its permitting. 
</t>
    </r>
    <r>
      <rPr>
        <b/>
        <sz val="11"/>
        <color theme="1"/>
        <rFont val="Calibri"/>
        <family val="2"/>
      </rPr>
      <t>Location: Additional Location Information: </t>
    </r>
    <r>
      <rPr>
        <sz val="11"/>
        <color theme="1"/>
        <rFont val="Calibri"/>
        <family val="2"/>
      </rPr>
      <t xml:space="preserve">Located 35 km (x 0.62 for miles) west of the town of McDermitt (pop 124, 2020), Nevada, at the northern tip of Nevada on the Oregon border.
</t>
    </r>
    <r>
      <rPr>
        <b/>
        <sz val="11"/>
        <color theme="1"/>
        <rFont val="Calibri"/>
        <family val="2"/>
      </rPr>
      <t xml:space="preserve">Developer Description: Was There Change in Ownership during Project?: </t>
    </r>
    <r>
      <rPr>
        <sz val="11"/>
        <color theme="1"/>
        <rFont val="Calibri"/>
        <family val="2"/>
      </rPr>
      <t xml:space="preserve">The developer acquired the Project in 2018. By 2023 a total of 62 drill holes had supported increasing Mineral Resource Estimates.
</t>
    </r>
    <r>
      <rPr>
        <b/>
        <sz val="11"/>
        <color theme="1"/>
        <rFont val="Calibri"/>
        <family val="2"/>
      </rPr>
      <t xml:space="preserve">Processing Plan: Processing Done by the Same Lead Developer/Parent Company: </t>
    </r>
    <r>
      <rPr>
        <sz val="11"/>
        <color theme="1"/>
        <rFont val="Calibri"/>
        <family val="2"/>
      </rPr>
      <t xml:space="preserve">Developer envisions an open pit mining operation that processes ore onsite using sulphation roasting to produce battery-grade lithium carbonate. The developer is partnering with POSCO Holdings on tests of processing methods.
</t>
    </r>
    <r>
      <rPr>
        <b/>
        <sz val="11"/>
        <color theme="1"/>
        <rFont val="Calibri"/>
        <family val="2"/>
      </rPr>
      <t xml:space="preserve">Land Ownership: Type of Land: </t>
    </r>
    <r>
      <rPr>
        <sz val="11"/>
        <color theme="1"/>
        <rFont val="Calibri"/>
        <family val="2"/>
      </rPr>
      <t>Project encompasses 7,200 acres (BLM) and would require the construction of 30.2 miles of new access routes</t>
    </r>
  </si>
  <si>
    <r>
      <rPr>
        <b/>
        <sz val="11"/>
        <color theme="1"/>
        <rFont val="Calibri"/>
        <family val="2"/>
      </rPr>
      <t xml:space="preserve">Project Description: Status of Project: </t>
    </r>
    <r>
      <rPr>
        <sz val="11"/>
        <color theme="1"/>
        <rFont val="Calibri"/>
        <family val="2"/>
      </rPr>
      <t xml:space="preserve">In 2024 the developer commissioned an analysis of options for a new tailings disposal area.  
</t>
    </r>
    <r>
      <rPr>
        <b/>
        <sz val="11"/>
        <color theme="1"/>
        <rFont val="Calibri"/>
        <family val="2"/>
      </rPr>
      <t>Location: Additional Location Information: </t>
    </r>
    <r>
      <rPr>
        <sz val="11"/>
        <color theme="1"/>
        <rFont val="Calibri"/>
        <family val="2"/>
      </rPr>
      <t xml:space="preserve">Located north of the Mexican border, 10 miles from Sahuarita (35,638, 2022), 15 miles south of Tucson, Arizona; adjacent to the Twin Buttes mine and the Sierrita Mine. The mine is named for the nearby Mission San Xavier del Bac, an impressive and historic Franciscan mission dating back to the late 17th century.
</t>
    </r>
    <r>
      <rPr>
        <b/>
        <sz val="11"/>
        <color theme="1"/>
        <rFont val="Calibri"/>
        <family val="2"/>
      </rPr>
      <t xml:space="preserve">Location: Mining District: </t>
    </r>
    <r>
      <rPr>
        <sz val="11"/>
        <color theme="1"/>
        <rFont val="Calibri"/>
        <family val="2"/>
      </rPr>
      <t xml:space="preserve">Comprised of the Mission, Eisenhower, Pima, Mineral Hill and South San Xavier properties, as well as the neighboring North San Xavier mine.       
</t>
    </r>
    <r>
      <rPr>
        <b/>
        <sz val="11"/>
        <color theme="1"/>
        <rFont val="Calibri"/>
        <family val="2"/>
      </rPr>
      <t xml:space="preserve">Development Plans: Processing Done by the Same Lead Developer/Parent Company: </t>
    </r>
    <r>
      <rPr>
        <sz val="11"/>
        <color theme="1"/>
        <rFont val="Calibri"/>
        <family val="2"/>
      </rPr>
      <t xml:space="preserve">The Mission complex comprises open pit mining of the Mission, Eisenhower, Pima, Mineral Hill, North San Xavier and South San Xavier properties. The complex also includes two concentrator facilities, the Mission Mill (also known as the North Mill) and the South Mill. Underground mining stopped in 2003. The South mill was placed on ‘care and maintenance' in 2002 and re-opened in 2007. Control of dust emissions is a key operating priority with residential build up close to the mine-site.
</t>
    </r>
    <r>
      <rPr>
        <b/>
        <sz val="11"/>
        <color theme="1"/>
        <rFont val="Calibri"/>
        <family val="2"/>
      </rPr>
      <t xml:space="preserve">Litigation: Evidence of Litigation: </t>
    </r>
    <r>
      <rPr>
        <sz val="11"/>
        <color theme="1"/>
        <rFont val="Calibri"/>
        <family val="2"/>
      </rPr>
      <t xml:space="preserve">The developer and its unions have experienced a protracted labor dispute for several years. In 2024 the National Labor Relations Board was still prosecuting its 2022 case of unfair labor practices against Asarco in an ongoing trial before an administrative law judge in Phoenix. The unions also are pursuing more recent NLRB charges over Asarco’s allegedly unlawful withdrawal of union recognition at the Mission Mine in Sahuarita and the Silver Bell Mine near Marana. The NLRB has declined the unions’ request to hear those allegations as part of the larger pending case, but the agency has issued a complaint on those charges and plans to investigate and hear them separately. </t>
    </r>
  </si>
  <si>
    <r>
      <rPr>
        <b/>
        <sz val="11"/>
        <color theme="1"/>
        <rFont val="Calibri"/>
        <family val="2"/>
      </rPr>
      <t>Project Description: Existing Mine:</t>
    </r>
    <r>
      <rPr>
        <sz val="11"/>
        <color theme="1"/>
        <rFont val="Calibri"/>
        <family val="2"/>
      </rPr>
      <t xml:space="preserve"> Operational since the 1880s
</t>
    </r>
    <r>
      <rPr>
        <b/>
        <sz val="11"/>
        <color theme="1"/>
        <rFont val="Calibri"/>
        <family val="2"/>
      </rPr>
      <t>Project Description: Status of Project: </t>
    </r>
    <r>
      <rPr>
        <sz val="11"/>
        <color theme="1"/>
        <rFont val="Calibri"/>
        <family val="2"/>
      </rPr>
      <t xml:space="preserve">The Morenci mine is by far the #1 copper-producing mine in the U.S. According to one tally, it is the 7th largest copper-producing mine in the world; In June 2024 the CEO of Morenci stated her intention to aggressively increase production due to the heightened global demand for copper.  
</t>
    </r>
    <r>
      <rPr>
        <b/>
        <sz val="11"/>
        <color theme="1"/>
        <rFont val="Calibri"/>
        <family val="2"/>
      </rPr>
      <t xml:space="preserve">Location: Additional Location Information: </t>
    </r>
    <r>
      <rPr>
        <sz val="11"/>
        <color theme="1"/>
        <rFont val="Calibri"/>
        <family val="2"/>
      </rPr>
      <t xml:space="preserve">Located 50 miles north of Safford (pop 10,271, 2020) in southeast Arizona.  
</t>
    </r>
    <r>
      <rPr>
        <b/>
        <sz val="11"/>
        <color theme="1"/>
        <rFont val="Calibri"/>
        <family val="2"/>
      </rPr>
      <t xml:space="preserve">Developer Description: Lead Developer: </t>
    </r>
    <r>
      <rPr>
        <sz val="11"/>
        <color theme="1"/>
        <rFont val="Calibri"/>
        <family val="2"/>
      </rPr>
      <t xml:space="preserve">Freeport McMoRan (72%) has majority- Sumitomo (15%), SMM Morenci (13%).
</t>
    </r>
    <r>
      <rPr>
        <b/>
        <sz val="11"/>
        <color theme="1"/>
        <rFont val="Calibri"/>
        <family val="2"/>
      </rPr>
      <t xml:space="preserve">Development Plans: Processing Done by the Same Lead Developer/Parent Company: </t>
    </r>
    <r>
      <rPr>
        <sz val="11"/>
        <color theme="1"/>
        <rFont val="Calibri"/>
        <family val="2"/>
      </rPr>
      <t xml:space="preserve">Processing on site, with plans to increase from 90,000 tonnes to 130,000 tonnes by 2024-2036.
</t>
    </r>
    <r>
      <rPr>
        <b/>
        <sz val="11"/>
        <color theme="1"/>
        <rFont val="Calibri"/>
        <family val="2"/>
      </rPr>
      <t>Financial Support: Federal Agency:</t>
    </r>
    <r>
      <rPr>
        <sz val="11"/>
        <color theme="1"/>
        <rFont val="Calibri"/>
        <family val="2"/>
      </rPr>
      <t>In March 2024 Freeport-McMoRan was selected to receive $80 million through a cooperative agreement with the U.S. Department of Energy for a project to use geothermal energy to heat leaching stockpiles in Morenci and Safford and integrate battery energy storage and microgrid operations to improve electrical reliability in Morenci. By using geothermal energy, the project aims to generate clean, industrial-scale heat to enable the recovery over time of billions of pounds of residual copper through the company’s Leach to the Last Drop initiative from already mined material previously considered unrecoverable. The project could increase copper recovery by 25 million pounds or more annually, depending on the geothermal resources.</t>
    </r>
  </si>
  <si>
    <r>
      <rPr>
        <b/>
        <sz val="11"/>
        <color theme="1"/>
        <rFont val="Calibri"/>
        <family val="2"/>
      </rPr>
      <t>Project Description: Status of Project: </t>
    </r>
    <r>
      <rPr>
        <sz val="11"/>
        <color theme="1"/>
        <rFont val="Calibri"/>
        <family val="2"/>
      </rPr>
      <t xml:space="preserve">Minnesota Department of Natural Resources delayed permit decision until August 2025; Developer is working on new studies to enhance the sustainability of the project.
</t>
    </r>
    <r>
      <rPr>
        <b/>
        <sz val="11"/>
        <color theme="1"/>
        <rFont val="Calibri"/>
        <family val="2"/>
      </rPr>
      <t xml:space="preserve">Project Description: Regulatory Challenges: </t>
    </r>
    <r>
      <rPr>
        <sz val="11"/>
        <color theme="1"/>
        <rFont val="Calibri"/>
        <family val="2"/>
      </rPr>
      <t xml:space="preserve">The Army Corps of Engineers – with support from Biden EPA – revoked a critical federal water-quality permit due to concerns that waste from mine construction might endanger the water quality of a nearby tribal community.
</t>
    </r>
    <r>
      <rPr>
        <b/>
        <sz val="11"/>
        <color theme="1"/>
        <rFont val="Calibri"/>
        <family val="2"/>
      </rPr>
      <t xml:space="preserve">Location: Additional Location Information: </t>
    </r>
    <r>
      <rPr>
        <sz val="11"/>
        <color theme="1"/>
        <rFont val="Calibri"/>
        <family val="2"/>
      </rPr>
      <t xml:space="preserve">Located in northeast Minnesota, about six miles south of Babbitt (pop 1,397, 2020) and one mile south of the existing Northshore iron-ore mine. Processing of mined ore would take place at the former LTV taconite plant near Hoyt Lakes (pop 2,020, 2020). Situated within the Partridge River intrusion along the northern margin of Duluth Complex, a geological formation near the Mesabi Iron Range.
</t>
    </r>
    <r>
      <rPr>
        <b/>
        <sz val="11"/>
        <color theme="1"/>
        <rFont val="Calibri"/>
        <family val="2"/>
      </rPr>
      <t>Developer Description: Was There Change in Ownership during Project?: </t>
    </r>
    <r>
      <rPr>
        <sz val="11"/>
        <color theme="1"/>
        <rFont val="Calibri"/>
        <family val="2"/>
      </rPr>
      <t xml:space="preserve">Project formerly called PolyMet. The ownership has been changed to a 50-50 joint venture of Polymet Mining (USA) and Teck Resources (Canada). The joint venture controls both the NewRange Copper Nickel deposit and Teck’s Mesaba deposit a few miles to the east.; In February 2023 the Swiss multinational Glencore became a 100% owner of the Polymet side of the joint venture.; Teck’s largest shareholder is the China Investment Corp., the sovereign wealth fund of the Beijing government, with a 10% stake.
</t>
    </r>
    <r>
      <rPr>
        <b/>
        <sz val="11"/>
        <color theme="1"/>
        <rFont val="Calibri"/>
        <family val="2"/>
      </rPr>
      <t xml:space="preserve">Land Ownership: Public Land Ownership: </t>
    </r>
    <r>
      <rPr>
        <sz val="11"/>
        <color theme="1"/>
        <rFont val="Calibri"/>
        <family val="2"/>
      </rPr>
      <t xml:space="preserve">USFS Superior National Forest Service
</t>
    </r>
    <r>
      <rPr>
        <b/>
        <sz val="11"/>
        <color theme="1"/>
        <rFont val="Calibri"/>
        <family val="2"/>
      </rPr>
      <t xml:space="preserve">Litigation: Evidence of Litigation: </t>
    </r>
    <r>
      <rPr>
        <sz val="11"/>
        <color theme="1"/>
        <rFont val="Calibri"/>
        <family val="2"/>
      </rPr>
      <t>After the developer obtained all necessary permits for the project,  a coalition of environmental and tribal groups initiated numerous lawsuits at different times and in different venues.  Those lawsuits challenged the validity of the land swap that allowed the developer to acquire crucial land for the project, the general permit to construct and operate the mine, the water quality permit, the air permit, and the dam safety permit related to waste management at the mine.  The plaintiffs had the most success with their challenges to the general permit to operate and construct the mine and their challenges to the water quality permit.  Both permits were ultimately overturned by the Minnesota Supreme Court.</t>
    </r>
  </si>
  <si>
    <r>
      <rPr>
        <b/>
        <sz val="11"/>
        <color theme="1"/>
        <rFont val="Calibri"/>
        <family val="2"/>
      </rPr>
      <t>Project Description: Status of Project: </t>
    </r>
    <r>
      <rPr>
        <sz val="11"/>
        <color theme="1"/>
        <rFont val="Calibri"/>
        <family val="2"/>
      </rPr>
      <t xml:space="preserve">Since at least 2019 indigenous groups and environmentalists have clashed with the developer over requests that BLM allow exploratory drilling at Panamint Valley.  In February 2024 the developer again submitted to BLM a plan of operations, a necessary step toward approval of an exploratory drilling program; despite some opposition, BLM approved the proposal in August 2024.  
</t>
    </r>
    <r>
      <rPr>
        <b/>
        <sz val="11"/>
        <color theme="1"/>
        <rFont val="Calibri"/>
        <family val="2"/>
      </rPr>
      <t>Location: Additional Location Information: </t>
    </r>
    <r>
      <rPr>
        <sz val="11"/>
        <color theme="1"/>
        <rFont val="Calibri"/>
        <family val="2"/>
      </rPr>
      <t xml:space="preserve">Located immediately west of Death Valley National Park in California near the Nevada border; nearest towns are Pahrump (pop 44,738, 2020), Nevada, Searles Valley (pop 1,565, 2020), California, and Darwin (pop 26, 2020), California.
</t>
    </r>
    <r>
      <rPr>
        <b/>
        <sz val="11"/>
        <color theme="1"/>
        <rFont val="Calibri"/>
        <family val="2"/>
      </rPr>
      <t xml:space="preserve">Developer Description: Parent Company: </t>
    </r>
    <r>
      <rPr>
        <sz val="11"/>
        <color theme="1"/>
        <rFont val="Calibri"/>
        <family val="2"/>
      </rPr>
      <t xml:space="preserve">Founded in 2010; current project portfolio includes copper, gold, and lithium assets in the US, Kazakhstan, and Mongolia </t>
    </r>
  </si>
  <si>
    <r>
      <rPr>
        <b/>
        <sz val="11"/>
        <color theme="1"/>
        <rFont val="Calibri"/>
        <family val="2"/>
      </rPr>
      <t>Project Description: Status of Project: </t>
    </r>
    <r>
      <rPr>
        <sz val="11"/>
        <color theme="1"/>
        <rFont val="Calibri"/>
        <family val="2"/>
      </rPr>
      <t xml:space="preserve">In 2024 the developer’s request that the State of Utah approve its plan for exploration ran into concerns from an unusually diverse array of players: a coalition of environmental groups, local nonprofits, some local government agencies, and three federal agencies: the Bureau of Land Management, the National Park Service, and the Bureau of Reclamation.  The state approved the developer’s plan.  
</t>
    </r>
    <r>
      <rPr>
        <b/>
        <sz val="11"/>
        <color theme="1"/>
        <rFont val="Calibri"/>
        <family val="2"/>
      </rPr>
      <t xml:space="preserve">Project Description: Regulatory Challenges: </t>
    </r>
    <r>
      <rPr>
        <sz val="11"/>
        <color theme="1"/>
        <rFont val="Calibri"/>
        <family val="2"/>
      </rPr>
      <t xml:space="preserve">Federal agencies have raised concerns about the developer's plans to access groundwater near the Green River, which connects to the Colorado River.  Utah regulators will make the final decisions about water permits. Update: in June of 2024, Utah state officials suspended a key water permit for the Paradox Lithium project following concerns from conservation advocates about potential contamination and water overuse in the Green River. September 2024: the state doubled down on its original decision to approve, while requiring that the developer demonstrate that the process is truly non-consumptive; developer will be subject to fines if water is consumed. 
</t>
    </r>
    <r>
      <rPr>
        <b/>
        <sz val="11"/>
        <color theme="1"/>
        <rFont val="Calibri"/>
        <family val="2"/>
      </rPr>
      <t xml:space="preserve">Location: Additional Location Information: </t>
    </r>
    <r>
      <rPr>
        <sz val="11"/>
        <color theme="1"/>
        <rFont val="Calibri"/>
        <family val="2"/>
      </rPr>
      <t xml:space="preserve">Located in Paradox Basin (asymmetric foreland basin located mostly in southeast Utah and southwest Colorado), near Green River (pop 847, 2020) in southern Utah.
</t>
    </r>
    <r>
      <rPr>
        <b/>
        <sz val="11"/>
        <color theme="1"/>
        <rFont val="Calibri"/>
        <family val="2"/>
      </rPr>
      <t xml:space="preserve">Developer Description: Lead Developer: </t>
    </r>
    <r>
      <rPr>
        <sz val="11"/>
        <color theme="1"/>
        <rFont val="Calibri"/>
        <family val="2"/>
      </rPr>
      <t xml:space="preserve">In June 2024 the developer announced collaboration with Koch Technology Solutions (KTS), a Koch Engineered Solutions (KES) company, for the commissioning of its Li-Pro™ process pilot unit for lithium extraction at the developer's Green River Lithium Project. The pilot will be jointly funded by the developer and an investment from KTS through a convertible note as the companies work to develop a further commercial relationship.
</t>
    </r>
    <r>
      <rPr>
        <b/>
        <sz val="11"/>
        <color theme="1"/>
        <rFont val="Calibri"/>
        <family val="2"/>
      </rPr>
      <t>Development Plans: Processing Done by the Same Lead Developer/Parent Company: </t>
    </r>
    <r>
      <rPr>
        <sz val="11"/>
        <color theme="1"/>
        <rFont val="Calibri"/>
        <family val="2"/>
      </rPr>
      <t xml:space="preserve">Potentially developing a processing plan onsite, now in engineering stages.
</t>
    </r>
    <r>
      <rPr>
        <b/>
        <sz val="11"/>
        <color theme="1"/>
        <rFont val="Calibri"/>
        <family val="2"/>
      </rPr>
      <t xml:space="preserve">Financial Support: Public Supply Agreement w/ an Automaker or Battery/Component Producer: </t>
    </r>
    <r>
      <rPr>
        <sz val="11"/>
        <color theme="1"/>
        <rFont val="Calibri"/>
        <family val="2"/>
      </rPr>
      <t xml:space="preserve">In 2024 the developer completed negotiations with LG Energy Solution and executed its first binding offtake term sheet to supply battery-grade lithium carbonate. The agreement calls for the developer to supply up to 4,000 dry metric tonnes per year of battery-grade lithium carbonate. The associated volumes represent approximately 40 percent of the Project’s start-up production capacity of 10,000 tonnes per year.
</t>
    </r>
    <r>
      <rPr>
        <b/>
        <sz val="11"/>
        <color theme="1"/>
        <rFont val="Calibri"/>
        <family val="2"/>
      </rPr>
      <t xml:space="preserve">Litigation: Evidence of Litigation: </t>
    </r>
    <r>
      <rPr>
        <sz val="11"/>
        <color theme="1"/>
        <rFont val="Calibri"/>
        <family val="2"/>
      </rPr>
      <t>In October 2024, a coalition of conservationists, businesses, and residents sued the Utah Division of Water Rights in the State’s 7th District Court in Moab to overturn the Division’s decision to approve water rights for lithium extraction.  The leader of the lawsuit is Great Basin Water Network.  The litigation was not resolved as of December 2024.</t>
    </r>
  </si>
  <si>
    <r>
      <rPr>
        <b/>
        <sz val="11"/>
        <color theme="1"/>
        <rFont val="Calibri"/>
        <family val="2"/>
      </rPr>
      <t xml:space="preserve">Project Description: Existing Mine: </t>
    </r>
    <r>
      <rPr>
        <sz val="11"/>
        <color theme="1"/>
        <rFont val="Calibri"/>
        <family val="2"/>
      </rPr>
      <t xml:space="preserve">Deposits discovered in 1987 by Cominco Alaska (Teck Resources Ltd.), optioned by Northern Dynasty Minerals in 2001, explored in 2002, and drilled from 2002-2013 with discovery of Pebble East in 2005. Preparation for the permitting process began and administrative review lasted over 13 years.  
</t>
    </r>
    <r>
      <rPr>
        <b/>
        <sz val="11"/>
        <color theme="1"/>
        <rFont val="Calibri"/>
        <family val="2"/>
      </rPr>
      <t xml:space="preserve">Project Description: Status of Project: </t>
    </r>
    <r>
      <rPr>
        <sz val="11"/>
        <color theme="1"/>
        <rFont val="Calibri"/>
        <family val="2"/>
      </rPr>
      <t xml:space="preserve">Advanced exploration, but delayed indefinitely
</t>
    </r>
    <r>
      <rPr>
        <b/>
        <sz val="11"/>
        <color theme="1"/>
        <rFont val="Calibri"/>
        <family val="2"/>
      </rPr>
      <t xml:space="preserve">Project Description: Regulatory Challenges: </t>
    </r>
    <r>
      <rPr>
        <sz val="11"/>
        <color theme="1"/>
        <rFont val="Calibri"/>
        <family val="2"/>
      </rPr>
      <t xml:space="preserve">The developer has received multiple permits from the State for exploratory activities that have extended over a decade. In July 2020, the U.S. Army Corps of Engineers published a final environmental impact statement (EIS) recommending development of the Pebble project. However, the federal government reversed its position at the urging of advisors to President Trump.  Later in 2020 the Trump Army Corps of Engineers rejected a permit application regarding disposal of dredge material that was critical for project development. On January 31, 2023, the EPA under Biden (who had made a campaign pledge to stop the mine) effectively vetoed the project, using a rarely invoked power under Section 404 (c) of the Clean Water Act to restrict development to protect watersheds. The EPA action, which bans the disposal of mine waste in part of the Bay’s watershed, safeguards a much larger area than what the developer had proposed to mine. This is the 14th time in the history of the Clean Water Act and just the third time in the past 30 years that EPA has used this veto authority.The developer appealed the Army Corp decision, arguing that the decision was inconsistent with the EIA (which the Corps had led with multiple federal, state and local agencies) but the Corps refused to act on the appeal, citing EPA’s decision to put the land off limits to mining. Separately, the Conservation Fund, an environmental preservation organization, purchased conservation easements for 44,000 acres of land owned by a Native village corporation near Iliamna Lake, about 20 miles south of the proposed mine site and the area covered by the E.P.A. ruling. The easements effectively block development and would make construction of an access road more difficult.  
</t>
    </r>
    <r>
      <rPr>
        <b/>
        <sz val="11"/>
        <color theme="1"/>
        <rFont val="Calibri"/>
        <family val="2"/>
      </rPr>
      <t xml:space="preserve">Location: County: </t>
    </r>
    <r>
      <rPr>
        <sz val="11"/>
        <color theme="1"/>
        <rFont val="Calibri"/>
        <family val="2"/>
      </rPr>
      <t xml:space="preserve">Lake and Peninsula Borough.
</t>
    </r>
    <r>
      <rPr>
        <b/>
        <sz val="11"/>
        <color theme="1"/>
        <rFont val="Calibri"/>
        <family val="2"/>
      </rPr>
      <t xml:space="preserve">Location: Additional Location Information: </t>
    </r>
    <r>
      <rPr>
        <sz val="11"/>
        <color theme="1"/>
        <rFont val="Calibri"/>
        <family val="2"/>
      </rPr>
      <t xml:space="preserve">200 miles southwest of Anchorage, near headwaters of the Bristol Bay, 17 miles northwest of the village of Iliamna (pop 108, 2020), Lake and Peninsula Borough, southwest Alaska
</t>
    </r>
    <r>
      <rPr>
        <b/>
        <sz val="11"/>
        <color theme="1"/>
        <rFont val="Calibri"/>
        <family val="2"/>
      </rPr>
      <t>Development Plans: Planned Production Capacity:</t>
    </r>
    <r>
      <rPr>
        <sz val="11"/>
        <color theme="1"/>
        <rFont val="Calibri"/>
        <family val="2"/>
      </rPr>
      <t xml:space="preserve"> 320 million lb copper; 368,000 oz gold; 15 million lb molybdenum; 1.8 million oz silver and 10,000 kg rhenium. 
</t>
    </r>
    <r>
      <rPr>
        <b/>
        <sz val="11"/>
        <color theme="1"/>
        <rFont val="Calibri"/>
        <family val="2"/>
      </rPr>
      <t>Development Plans: Planned Lifespan of Mine: </t>
    </r>
    <r>
      <rPr>
        <sz val="11"/>
        <color theme="1"/>
        <rFont val="Calibri"/>
        <family val="2"/>
      </rPr>
      <t xml:space="preserve">Mine's lifespan could be extended up to 100 years with mine expansions.
</t>
    </r>
    <r>
      <rPr>
        <b/>
        <sz val="11"/>
        <color theme="1"/>
        <rFont val="Calibri"/>
        <family val="2"/>
      </rPr>
      <t xml:space="preserve">Development Plans: Processing Done by the Same Lead Developer/Parent Company: </t>
    </r>
    <r>
      <rPr>
        <sz val="11"/>
        <color theme="1"/>
        <rFont val="Calibri"/>
        <family val="2"/>
      </rPr>
      <t xml:space="preserve">The open pit mine will feed a 180,000 copper flotation concentrator capable of processing 1.3 billion tons of mineralized material over 20 years of mining.  The PEA includes some expansion scenarios with a larger processing operation. 
</t>
    </r>
    <r>
      <rPr>
        <b/>
        <sz val="11"/>
        <color theme="1"/>
        <rFont val="Calibri"/>
        <family val="2"/>
      </rPr>
      <t xml:space="preserve">Land Ownership: Type of Land: </t>
    </r>
    <r>
      <rPr>
        <sz val="11"/>
        <color theme="1"/>
        <rFont val="Calibri"/>
        <family val="2"/>
      </rPr>
      <t xml:space="preserve">The developer holds mineral rights for 186 square miles (480 km2) of the area, an area that includes the Pebble deposits, as well as other, less explored, mineral deposits. 
</t>
    </r>
    <r>
      <rPr>
        <b/>
        <sz val="11"/>
        <color theme="1"/>
        <rFont val="Calibri"/>
        <family val="2"/>
      </rPr>
      <t xml:space="preserve">Litigation: Evidence of Litigation: </t>
    </r>
    <r>
      <rPr>
        <sz val="11"/>
        <color theme="1"/>
        <rFont val="Calibri"/>
        <family val="2"/>
      </rPr>
      <t xml:space="preserve">Developer and State of Alaska sued the Army Corps of Engineers in the US District Court for the District of Alaska.seeking to override the permit denial. A separate lawsuit against EPA was filed by Iliamna Natives Limited and the Alaska Peninsula Corporation, alleging the EPA overstepped its authority with its final decision to block the Pebble Mine project; The State of Alaska has also sued the federal government seeking more than $700 billion in compensation in the US Court of Federal Claims in the District of Columbia. This is based on a 100-year estimate of what the mine would have done for economic development in Alaska; The developer has sued separately in the Federal Claims Court, citing that it has expended more than $1 billion acquiring the land and developing the site; the US Supreme Court in January 2024 declined to take up </t>
    </r>
    <r>
      <rPr>
        <i/>
        <sz val="11"/>
        <color theme="1"/>
        <rFont val="Calibri"/>
        <family val="2"/>
      </rPr>
      <t>Alaska v United States</t>
    </r>
    <r>
      <rPr>
        <sz val="11"/>
        <color theme="1"/>
        <rFont val="Calibri"/>
        <family val="2"/>
      </rPr>
      <t xml:space="preserve">, an emergency request from the State of Alaska to review the Biden EPA veto of the proposed Pebble copper and gold mine in the Bristol Bay watershed.  The Court’s decision forces Alaska to go through the lower federal courts with its concerns; the case could eventually make it to the Supreme Court for a merits ruling. </t>
    </r>
  </si>
  <si>
    <r>
      <rPr>
        <b/>
        <sz val="11"/>
        <color theme="1"/>
        <rFont val="Calibri"/>
        <family val="2"/>
      </rPr>
      <t>Project Description: Status of Project: </t>
    </r>
    <r>
      <rPr>
        <sz val="11"/>
        <color theme="1"/>
        <rFont val="Calibri"/>
        <family val="2"/>
      </rPr>
      <t xml:space="preserve">Active, In November 2021 the developer received final approvals from the US Forest Service for a new mine plan of operations, approved by the Tonto National Forest, extending Pinto Valley’s life to the year 2039.
</t>
    </r>
    <r>
      <rPr>
        <b/>
        <sz val="11"/>
        <color theme="1"/>
        <rFont val="Calibri"/>
        <family val="2"/>
      </rPr>
      <t xml:space="preserve">Project Description: Regulatory Challenges: </t>
    </r>
    <r>
      <rPr>
        <sz val="11"/>
        <color theme="1"/>
        <rFont val="Calibri"/>
        <family val="2"/>
      </rPr>
      <t xml:space="preserve">The 2021 decision of the USFS to expand the mine is the subject of a lawsuit by Earthjustice and other environmental groups against the USFS.
</t>
    </r>
    <r>
      <rPr>
        <b/>
        <sz val="11"/>
        <color theme="1"/>
        <rFont val="Calibri"/>
        <family val="2"/>
      </rPr>
      <t xml:space="preserve">Location: Additional Location Information: </t>
    </r>
    <r>
      <rPr>
        <sz val="11"/>
        <color theme="1"/>
        <rFont val="Calibri"/>
        <family val="2"/>
      </rPr>
      <t xml:space="preserve">Located 8 miles west of the town of Miami (pop 1,532, 2023) in central Arizona; 80 miles east of Phoenix via Highway 60. 
</t>
    </r>
    <r>
      <rPr>
        <b/>
        <sz val="11"/>
        <color theme="1"/>
        <rFont val="Calibri"/>
        <family val="2"/>
      </rPr>
      <t>Developer Description: Was There Change in Ownership during Project?:</t>
    </r>
    <r>
      <rPr>
        <sz val="11"/>
        <color theme="1"/>
        <rFont val="Calibri"/>
        <family val="2"/>
      </rPr>
      <t xml:space="preserve"> Capstone acquired mine from BHP in October 2013. Capstone operates mine through affiliate Pinto Valley Mining.
</t>
    </r>
    <r>
      <rPr>
        <b/>
        <sz val="11"/>
        <color theme="1"/>
        <rFont val="Calibri"/>
        <family val="2"/>
      </rPr>
      <t xml:space="preserve">Litigation: Evidence of Litigation: </t>
    </r>
    <r>
      <rPr>
        <sz val="11"/>
        <color theme="1"/>
        <rFont val="Calibri"/>
        <family val="2"/>
      </rPr>
      <t xml:space="preserve">In September 2024, conservation groups sued the U.S. Forest Service and U.S. Fish and Wildlife Service for violating the National Environmental Policy Act, Endangered Species Act, and other laws in approving expanded operations at the Pinto Valley Mine, east of Phoenix. The litigation was not resolved as of December 2024.                                                                                       </t>
    </r>
  </si>
  <si>
    <r>
      <rPr>
        <b/>
        <sz val="11"/>
        <color theme="1"/>
        <rFont val="Calibri"/>
        <family val="2"/>
      </rPr>
      <t>Project Description: Status of Project: </t>
    </r>
    <r>
      <rPr>
        <sz val="11"/>
        <color theme="1"/>
        <rFont val="Calibri"/>
        <family val="2"/>
      </rPr>
      <t xml:space="preserve">The Ray Complex encompasses the Ray Mine and SXEW Plant, the Ray and Hayden Concentrators, the Hayden Smelter, and the Copper Basin Railroad.  The Hayden concentrator is located next to the Hayden smelter about 20 miles from the Ray mine. In 2009 the 9th Circuit, in a split (2-1) decision, blocked a land exchange that was crucial for an expansion of the Ray Mine.  In 2020 BLM under the Trump administration again approved the land exchange.  Meanwhile, the developer is planning to reopen the shutdown Hayden copper smelter, as there are only two operating smelters in the US: the Miami smelter in Arizona and Kennecott smelter in Utah. 
</t>
    </r>
    <r>
      <rPr>
        <b/>
        <sz val="11"/>
        <color theme="1"/>
        <rFont val="Calibri"/>
        <family val="2"/>
      </rPr>
      <t xml:space="preserve">Project Description: Regulatory Challenges: </t>
    </r>
    <r>
      <rPr>
        <sz val="11"/>
        <color theme="1"/>
        <rFont val="Calibri"/>
        <family val="2"/>
      </rPr>
      <t xml:space="preserve">The expansion project which required a public land swap was delayed for 26 years, due to litigation and a ten-year NEPA process. 
</t>
    </r>
    <r>
      <rPr>
        <b/>
        <sz val="11"/>
        <color theme="1"/>
        <rFont val="Calibri"/>
        <family val="2"/>
      </rPr>
      <t>Location: Additional Location Information:</t>
    </r>
    <r>
      <rPr>
        <sz val="11"/>
        <color theme="1"/>
        <rFont val="Calibri"/>
        <family val="2"/>
      </rPr>
      <t xml:space="preserve"> Located 10 miles north of town of Kearney (pop 1,741, 2020), 80 miles southeast of Phoenix, Arizona. 
</t>
    </r>
    <r>
      <rPr>
        <b/>
        <sz val="11"/>
        <color theme="1"/>
        <rFont val="Calibri"/>
        <family val="2"/>
      </rPr>
      <t xml:space="preserve">Land Ownership: Type of Land: </t>
    </r>
    <r>
      <rPr>
        <sz val="11"/>
        <color theme="1"/>
        <rFont val="Calibri"/>
        <family val="2"/>
      </rPr>
      <t xml:space="preserve">The 2020 land exchange: the BLM acquired 7,298 acres of privately owned land; in exchange, the BLM transferred 9,339 acres of public land adjacent to ASARCO’s Ray Mine Complex and Copper Butte properties near Kearny, for mine expansion.
</t>
    </r>
    <r>
      <rPr>
        <b/>
        <sz val="11"/>
        <color theme="1"/>
        <rFont val="Calibri"/>
        <family val="2"/>
      </rPr>
      <t xml:space="preserve">Litigation: Evidence of Litigation: </t>
    </r>
    <r>
      <rPr>
        <sz val="11"/>
        <color theme="1"/>
        <rFont val="Calibri"/>
        <family val="2"/>
      </rPr>
      <t xml:space="preserve">Federal appeals court issued a decision in 2010 opposing the land swap at the Ray Mining Complex in Arizona. The Bureau of Land Management (BLM) later approved the land exchange and addressed the court’s environmental concerns through a 2019 rulemaking. </t>
    </r>
  </si>
  <si>
    <r>
      <rPr>
        <b/>
        <sz val="11"/>
        <color theme="1"/>
        <rFont val="Calibri"/>
        <family val="2"/>
      </rPr>
      <t xml:space="preserve">Project Description: Existing Mine: </t>
    </r>
    <r>
      <rPr>
        <sz val="11"/>
        <color theme="1"/>
        <rFont val="Calibri"/>
        <family val="2"/>
      </rPr>
      <t xml:space="preserve">Although the area has not previously been mined, it has been explored off and on for decades. The earliest known boron exploration activities began in the 1890s. More recent exploration activities occurred in the 1960s, the 1980s, the 1990s, the 2010s, plus there is the recent exploration by the current developer.  
</t>
    </r>
    <r>
      <rPr>
        <b/>
        <sz val="11"/>
        <color theme="1"/>
        <rFont val="Calibri"/>
        <family val="2"/>
      </rPr>
      <t xml:space="preserve">Project Description: Status of Project: </t>
    </r>
    <r>
      <rPr>
        <sz val="11"/>
        <color theme="1"/>
        <rFont val="Calibri"/>
        <family val="2"/>
      </rPr>
      <t xml:space="preserve">The project is fully permitted and construction has begun. The developer projects that active production could occur by 2028, assuming no judicial setbacks. </t>
    </r>
    <r>
      <rPr>
        <b/>
        <sz val="11"/>
        <color theme="1"/>
        <rFont val="Calibri"/>
        <family val="2"/>
      </rPr>
      <t xml:space="preserve">                      
Project Description: Regulatory Challenges: </t>
    </r>
    <r>
      <rPr>
        <sz val="11"/>
        <color theme="1"/>
        <rFont val="Calibri"/>
        <family val="2"/>
      </rPr>
      <t xml:space="preserve">A multi-year delay in federal permitting occurred due to concerns that the project could harm the habitat of a rare desert flower (Tiehm's buckwheat). The Fish and Wildlife Service designated 910 acres of critical habitat on lands managed by the Bureau of Land Management in the Rhyolite Ridge area of the Silver Peak Range in Esmeralda County, Nevada, to help conserve the imperiled plant. The developer modified the location of the mine to minimize the Project's risk to the flower while also pledging use of advanced dust-suppression methods to further protect the flower.  
</t>
    </r>
    <r>
      <rPr>
        <b/>
        <sz val="11"/>
        <color theme="1"/>
        <rFont val="Calibri"/>
        <family val="2"/>
      </rPr>
      <t>Location: Additional Location Information:</t>
    </r>
    <r>
      <rPr>
        <sz val="11"/>
        <color theme="1"/>
        <rFont val="Calibri"/>
        <family val="2"/>
      </rPr>
      <t xml:space="preserve"> Located approximately 14 miles northeast of Dyer, Nevada. It is 65 miles southwest of Tonopah, Nevada (closest city), 215 miles from Reno (third largest city in Nevada), and 255 miles from Las Vegas (largest city in Nevada). Situated in the Silver Peak Range, part of the Basin and Range physiographic province of southwestern Nevada. Esmeralda County, which has no incorporated communities, is the least populated county in the state of Nevada; the county seat is the town of Goldfield.Location: 
</t>
    </r>
    <r>
      <rPr>
        <b/>
        <sz val="11"/>
        <color theme="1"/>
        <rFont val="Calibri"/>
        <family val="2"/>
      </rPr>
      <t xml:space="preserve">Developer Description: Lead Developer: </t>
    </r>
    <r>
      <rPr>
        <sz val="11"/>
        <color theme="1"/>
        <rFont val="Calibri"/>
        <family val="2"/>
      </rPr>
      <t xml:space="preserve">Ioneer spent about $172 million over eight years (2017-2024) to develop the project. In September 2021, Sibanye-Stillwater entered into an agreement with Ioneer to establish a joint venture company with respect to Rhyolite Ridge. Sibanye-Stillwater may acquire up to a 50% interest in the Joint Venture, with Ioneer maintaining a 50% interest and retaining operational management responsibility for the Joint Venture.
</t>
    </r>
    <r>
      <rPr>
        <b/>
        <sz val="11"/>
        <color theme="1"/>
        <rFont val="Calibri"/>
        <family val="2"/>
      </rPr>
      <t xml:space="preserve">Development Plans: Processing Plan in US: </t>
    </r>
    <r>
      <rPr>
        <sz val="11"/>
        <color theme="1"/>
        <rFont val="Calibri"/>
        <family val="2"/>
      </rPr>
      <t xml:space="preserve">The Rhyolite Ridge Project is planned to consist of an open pit lithium and boron mine (referred to as a Quarry in the Water Pollution Control Permit Application), an Overburden Storage Facility (OSF), a processing plant, a Spent Ore Storage Facility (SOSF), and a sulfuric acid plant (SAP). 
</t>
    </r>
    <r>
      <rPr>
        <b/>
        <sz val="11"/>
        <color theme="1"/>
        <rFont val="Calibri"/>
        <family val="2"/>
      </rPr>
      <t xml:space="preserve">Financial Support: Federal Agency: </t>
    </r>
    <r>
      <rPr>
        <sz val="11"/>
        <color theme="1"/>
        <rFont val="Calibri"/>
        <family val="2"/>
      </rPr>
      <t xml:space="preserve">In 2022 the DOE offered a conditional loan of up to $700 million to support the costs of constructing the processing facility. In early 2025 DOE upped the size of the loan to $996 million.
</t>
    </r>
    <r>
      <rPr>
        <b/>
        <sz val="11"/>
        <color theme="1"/>
        <rFont val="Calibri"/>
        <family val="2"/>
      </rPr>
      <t xml:space="preserve">Financial Support: Public Supply Agreement w/ an Automaker or Battery/Component Producer: </t>
    </r>
    <r>
      <rPr>
        <sz val="11"/>
        <color theme="1"/>
        <rFont val="Calibri"/>
        <family val="2"/>
      </rPr>
      <t xml:space="preserve">The developer has signed binding offtake agreements with Ford Motor Company, with Prime Planet Energy and Solutions (a joint venture of Toyota and Panasonic), EcoPro Innovation, and Nevada-based Dragonfly Energy. 
</t>
    </r>
    <r>
      <rPr>
        <b/>
        <sz val="11"/>
        <color theme="1"/>
        <rFont val="Calibri"/>
        <family val="2"/>
      </rPr>
      <t>Litigation: Evidence of Litigation:</t>
    </r>
    <r>
      <rPr>
        <sz val="11"/>
        <color theme="1"/>
        <rFont val="Calibri"/>
        <family val="2"/>
      </rPr>
      <t xml:space="preserve"> One lawsuit concerned whether USDA Fish and Wildlife Service should list Tiehm's buckwheat as endangered under the ESA. The second lawsuit, in 2024, challenged BLM's decision to approve the mine, given the ecological risks involved.  
</t>
    </r>
    <r>
      <rPr>
        <b/>
        <sz val="11"/>
        <color theme="1"/>
        <rFont val="Calibri"/>
        <family val="2"/>
      </rPr>
      <t>Litigation: Court Rulings Issued:</t>
    </r>
    <r>
      <rPr>
        <sz val="11"/>
        <color theme="1"/>
        <rFont val="Calibri"/>
        <family val="2"/>
      </rPr>
      <t xml:space="preserve"> A federal judge ruled in favor of CBD that the USDA Fish and Wildlife Service must rule within 30 days on CBD's petition to list Tiehm's buckwheat as an endangered species under the Endangered Species Act. A coalition of more than 100 scientists and botany groups had urged US F&amp;W Service to list Tiehm’s buckwheat as endangered under the ESA.  </t>
    </r>
  </si>
  <si>
    <r>
      <rPr>
        <b/>
        <sz val="11"/>
        <color theme="1"/>
        <rFont val="Calibri"/>
        <family val="2"/>
      </rPr>
      <t>Project Description: Status of Project: </t>
    </r>
    <r>
      <rPr>
        <sz val="11"/>
        <color theme="1"/>
        <rFont val="Calibri"/>
        <family val="2"/>
      </rPr>
      <t xml:space="preserve">The strategy with Round Top, as revealed in the developer's 2024 SEC filing, is to formulate a metallurgical process to concentrate or extract metals from the Round Top Project’s rhyolite, conduct additional engineering, design, geotechnical work, and permitting necessary for a bankable feasibility study, and then extract mineral resources.
</t>
    </r>
    <r>
      <rPr>
        <b/>
        <sz val="11"/>
        <color theme="1"/>
        <rFont val="Calibri"/>
        <family val="2"/>
      </rPr>
      <t xml:space="preserve">Location: Additional Location Information: </t>
    </r>
    <r>
      <rPr>
        <sz val="11"/>
        <color theme="1"/>
        <rFont val="Calibri"/>
        <family val="2"/>
      </rPr>
      <t xml:space="preserve">Located at Round Top Mountain near town of Sierra Blanca (pop 315, 2020) in far west Texas near the Mexican border.  El Paso is approximately 80 miles north-west of the project site.
</t>
    </r>
    <r>
      <rPr>
        <b/>
        <sz val="11"/>
        <color theme="1"/>
        <rFont val="Calibri"/>
        <family val="2"/>
      </rPr>
      <t>Developer Description: Parent Company:</t>
    </r>
    <r>
      <rPr>
        <sz val="11"/>
        <color theme="1"/>
        <rFont val="Calibri"/>
        <family val="2"/>
      </rPr>
      <t xml:space="preserve"> USA Rare Earth is entitled to acquire a 70% interest in the project by spending $10m for the finalization of processing technology and the completion of a bankable feasibility study (BFS). The developer also has an option to acquire an additional 10% interest through a $3m cash payment to TMRC
</t>
    </r>
    <r>
      <rPr>
        <b/>
        <sz val="11"/>
        <color theme="1"/>
        <rFont val="Calibri"/>
        <family val="2"/>
      </rPr>
      <t xml:space="preserve">Development Plans: Processing Plan in US: </t>
    </r>
    <r>
      <rPr>
        <sz val="11"/>
        <color theme="1"/>
        <rFont val="Calibri"/>
        <family val="2"/>
      </rPr>
      <t xml:space="preserve">Successful pilot plant in Wheat Ridge, Colorado; plans to move operation to Texas
</t>
    </r>
    <r>
      <rPr>
        <b/>
        <sz val="11"/>
        <color theme="1"/>
        <rFont val="Calibri"/>
        <family val="2"/>
      </rPr>
      <t xml:space="preserve">Land Ownership: Type of Land: </t>
    </r>
    <r>
      <rPr>
        <sz val="11"/>
        <color theme="1"/>
        <rFont val="Calibri"/>
        <family val="2"/>
      </rPr>
      <t>Texas General Land Office. The developer holds 19-year renewable leases from the State of Texas on 950 acres encompassing Round Top and additional prospecting permits on adjacent areas covering an additional 9,345 acres.</t>
    </r>
  </si>
  <si>
    <r>
      <rPr>
        <b/>
        <sz val="11"/>
        <color theme="1"/>
        <rFont val="Calibri"/>
        <family val="2"/>
      </rPr>
      <t>Project Description: Status of Project: </t>
    </r>
    <r>
      <rPr>
        <sz val="11"/>
        <color theme="1"/>
        <rFont val="Calibri"/>
        <family val="2"/>
      </rPr>
      <t xml:space="preserve">Safford is a mine-for-leach operation that produces copper cathode. The operation consists of three open pits, of which only Lone Star is currently being mined, feeding a crushing facility.  The developer continues to advance plans at Safford/Lone Star to increase volumes to achieve 300 million pounds of copper per year from oxide ores, which reflects expansion of the initial design capacity of 200 million pounds of copper per year. Positive drilling conducted in recent years indicates opportunities to expand production to include sulfide ores in the future. The developer is completing metallurgical testing and mine development planning and expects to commence pre-feasibility studies during 2024-2005 for a potentially significant expansion.
</t>
    </r>
    <r>
      <rPr>
        <b/>
        <sz val="11"/>
        <color theme="1"/>
        <rFont val="Calibri"/>
        <family val="2"/>
      </rPr>
      <t>Location: Additional Location Information: </t>
    </r>
    <r>
      <rPr>
        <sz val="11"/>
        <color theme="1"/>
        <rFont val="Calibri"/>
        <family val="2"/>
      </rPr>
      <t xml:space="preserve">Located 8 miles from Safford (pop 10,129, 2020), county seat of Graham County, southeast Arizona, 170 miles east of Phoenix.
</t>
    </r>
    <r>
      <rPr>
        <b/>
        <sz val="11"/>
        <color theme="1"/>
        <rFont val="Calibri"/>
        <family val="2"/>
      </rPr>
      <t xml:space="preserve">Developer Description: Was There Change in Ownership during Project?: </t>
    </r>
    <r>
      <rPr>
        <sz val="11"/>
        <color theme="1"/>
        <rFont val="Calibri"/>
        <family val="2"/>
      </rPr>
      <t xml:space="preserve">The mine was established in 1907. Ownership changed hands several times before current developer acquired it.  
</t>
    </r>
    <r>
      <rPr>
        <b/>
        <sz val="11"/>
        <color theme="1"/>
        <rFont val="Calibri"/>
        <family val="2"/>
      </rPr>
      <t xml:space="preserve">Development Plans: Planned Production Capacity: </t>
    </r>
    <r>
      <rPr>
        <sz val="11"/>
        <color theme="1"/>
        <rFont val="Calibri"/>
        <family val="2"/>
      </rPr>
      <t xml:space="preserve">21 million pounds of molybdenum a year as well
</t>
    </r>
    <r>
      <rPr>
        <b/>
        <sz val="11"/>
        <color theme="1"/>
        <rFont val="Calibri"/>
        <family val="2"/>
      </rPr>
      <t xml:space="preserve">Financial Support: Federal Agency: </t>
    </r>
    <r>
      <rPr>
        <sz val="11"/>
        <color theme="1"/>
        <rFont val="Calibri"/>
        <family val="2"/>
      </rPr>
      <t xml:space="preserve">In March 2024 Freeport-McMoRan was selected to receive $80 million through a cooperative agreement with the U.S. Department of Energy for a project to use geothermal energy to heat leaching stockpiles in Morenci and Safford and integrate battery energy storage and microgrid operations to improve electrical reliability in Morenci. By using geothermal energy, the project aims to generate clean, industrial-scale heat to enable the recovery over time of billions of pounds of residual copper through the company’s Leach to the Last Drop initiative from already mined material previously considered unrecoverable. The project could increase copper recovery by 25 million pounds or more annually, depending on the geothermal resources.
</t>
    </r>
    <r>
      <rPr>
        <b/>
        <sz val="11"/>
        <color theme="1"/>
        <rFont val="Calibri"/>
        <family val="2"/>
      </rPr>
      <t xml:space="preserve">Land Ownership: Type of Land: </t>
    </r>
    <r>
      <rPr>
        <sz val="11"/>
        <color theme="1"/>
        <rFont val="Calibri"/>
        <family val="2"/>
      </rPr>
      <t xml:space="preserve">In September 2005, as part of a land swap, Phelps Dodge (which was subsequently purchased by Freeport-McMoran), transferred 3,867 acres of scattered "environmentally sensitive" land to the Bureau of Land Management (BLM) and purchased 16,297 acres, located next to where the Safford mine is located, from the BLM. </t>
    </r>
  </si>
  <si>
    <r>
      <rPr>
        <b/>
        <sz val="11"/>
        <color theme="1"/>
        <rFont val="Calibri"/>
        <family val="2"/>
      </rPr>
      <t xml:space="preserve">Project Description: Mining Method: </t>
    </r>
    <r>
      <rPr>
        <sz val="11"/>
        <color theme="1"/>
        <rFont val="Calibri"/>
        <family val="2"/>
      </rPr>
      <t xml:space="preserve">Like other developers applying direct lithium extraction technology in the Salton Sea, this developer has experienced some technical difficulties with corroded equipment from the superhot brine, but technical progress has been made. 
</t>
    </r>
    <r>
      <rPr>
        <b/>
        <sz val="11"/>
        <color theme="1"/>
        <rFont val="Calibri"/>
        <family val="2"/>
      </rPr>
      <t xml:space="preserve">Project Description: Status of Project: </t>
    </r>
    <r>
      <rPr>
        <sz val="11"/>
        <color theme="1"/>
        <rFont val="Calibri"/>
        <family val="2"/>
      </rPr>
      <t xml:space="preserve">In 2024 the California Energy Commission issued its Final Project Report on the developer’s Lithium Recovery Demonstration Project.  The report documented that the Project faced setbacks, leading to the termination of the technology provider's contract due to insufficient progress.  This underscored the significance of brine pretreatment to successful lithium recovery, prompting a shift to alternative technologies focused on enhancing this process. While the Project is considered to be delayed indefinitely, a new joint venture may bring new life to the project.  In June 2024, Occidental and BHE Renewables, a wholly owned subsidiary of Berkshire Hathaway Energy, announced a joint venture for the demonstration and deployment of TerraLithium’s Direct Lithium Extraction and associated technologies to extract and commercially produce high-purity lithium compounds from geothermal brine.  TerraLithium, a wholly owned subsidiary of Occidental, has patented DLE technologies that have the potential to process any lithium-containing brine into a responsibly sourced supply of high-purity lithium.
</t>
    </r>
    <r>
      <rPr>
        <b/>
        <sz val="11"/>
        <color theme="1"/>
        <rFont val="Calibri"/>
        <family val="2"/>
      </rPr>
      <t xml:space="preserve">Location: Additional Location Information: </t>
    </r>
    <r>
      <rPr>
        <sz val="11"/>
        <color theme="1"/>
        <rFont val="Calibri"/>
        <family val="2"/>
      </rPr>
      <t xml:space="preserve">The nearest town Calipatria (pop 6,515, 2020), is about 23 miles from El Centro (pop 44,432, 2020), which is the county seat of Imperial County in southeastern California; over 100 miles east of San Diego. The developer already has 10 geothermal plants in the Salton Sea region, with a demonstration of lithium extraction in the Imperial Valley at the southern end of the Salton Sea in southeastern California.   The Salton Sea is a shallow, landlocked, highly saline endorheic lake in Riverside and Imperial counties at the southern end of California. It lies on the San Andreas Fault within the Salton Trough, which stretches to the Gulf of California in Mexico.
</t>
    </r>
    <r>
      <rPr>
        <b/>
        <sz val="11"/>
        <color theme="1"/>
        <rFont val="Calibri"/>
        <family val="2"/>
      </rPr>
      <t>Development Plans: Processing Done by the Same Lead Developer/Parent Company: </t>
    </r>
    <r>
      <rPr>
        <sz val="11"/>
        <color theme="1"/>
        <rFont val="Calibri"/>
        <family val="2"/>
      </rPr>
      <t xml:space="preserve">Originally the plan was to process onsite to lithium hydroxide, but the developer switched to lithium carbonate; easier to process but hydroxide is prefered by some EV battery manufacturers. 
</t>
    </r>
    <r>
      <rPr>
        <b/>
        <sz val="11"/>
        <color theme="1"/>
        <rFont val="Calibri"/>
        <family val="2"/>
      </rPr>
      <t xml:space="preserve">Financial Support: Federal Agency: </t>
    </r>
    <r>
      <rPr>
        <sz val="11"/>
        <color theme="1"/>
        <rFont val="Calibri"/>
        <family val="2"/>
      </rPr>
      <t>This grant was rescinded when the developer decided not to pursue the terms of the award.</t>
    </r>
  </si>
  <si>
    <r>
      <rPr>
        <b/>
        <sz val="11"/>
        <color theme="1"/>
        <rFont val="Calibri"/>
        <family val="2"/>
      </rPr>
      <t xml:space="preserve">Project Description: Existing Mine: </t>
    </r>
    <r>
      <rPr>
        <sz val="11"/>
        <color theme="1"/>
        <rFont val="Calibri"/>
        <family val="2"/>
      </rPr>
      <t xml:space="preserve">Commercial mining hasn’t taken place in the Bitterroot National Forest for decades. Previous mining activity in the Forest includes the Skalkaho Vermiculite Deposit in the Sapphire Mountains east of Hamilton, but mining hasn’t taken place for decades. The most recent activity was an EIS (environmental impact statement) approved in 1993, but the mine never went into operation and the disturbance has since been reclaimed.
</t>
    </r>
    <r>
      <rPr>
        <b/>
        <sz val="11"/>
        <color theme="1"/>
        <rFont val="Calibri"/>
        <family val="2"/>
      </rPr>
      <t xml:space="preserve">Project Description: Status of Project: </t>
    </r>
    <r>
      <rPr>
        <sz val="11"/>
        <color theme="1"/>
        <rFont val="Calibri"/>
        <family val="2"/>
      </rPr>
      <t xml:space="preserve">The developer’s original plan was to submit in 2024 a plan of operations to the USFS that includes exploratory drilling.  However, the developer decided to delay that submission until 2025 as it consults with nearby communities and completes low-disturbance soil and rock sampling.
</t>
    </r>
    <r>
      <rPr>
        <b/>
        <sz val="11"/>
        <color theme="1"/>
        <rFont val="Calibri"/>
        <family val="2"/>
      </rPr>
      <t>Location: Additional Location Information:</t>
    </r>
    <r>
      <rPr>
        <sz val="11"/>
        <color theme="1"/>
        <rFont val="Calibri"/>
        <family val="2"/>
      </rPr>
      <t xml:space="preserve"> Located 38 miles south of Darby (pop 780, 2020) near the headwaters of the Bitterroot River in the Bitterroot National Forest (south of the Painted Rocks Reservoir), southwest Montana.
</t>
    </r>
    <r>
      <rPr>
        <b/>
        <sz val="11"/>
        <color theme="1"/>
        <rFont val="Calibri"/>
        <family val="2"/>
      </rPr>
      <t xml:space="preserve">Developer Description: Was There Change in Ownership during Project?: </t>
    </r>
    <r>
      <rPr>
        <sz val="11"/>
        <color theme="1"/>
        <rFont val="Calibri"/>
        <family val="2"/>
      </rPr>
      <t xml:space="preserve">In 2024 the Canadian-based company U.S. Critical Metals pulled out of the project but retains a 12% stake in U.S. Critical Materials.
</t>
    </r>
    <r>
      <rPr>
        <b/>
        <sz val="11"/>
        <color theme="1"/>
        <rFont val="Calibri"/>
        <family val="2"/>
      </rPr>
      <t xml:space="preserve">Financial Support: Federal Agency: </t>
    </r>
    <r>
      <rPr>
        <sz val="11"/>
        <color theme="1"/>
        <rFont val="Calibri"/>
        <family val="2"/>
      </rPr>
      <t xml:space="preserve">Small amounts of DOE and DOD R&amp;D funding.
</t>
    </r>
    <r>
      <rPr>
        <b/>
        <sz val="11"/>
        <color theme="1"/>
        <rFont val="Calibri"/>
        <family val="2"/>
      </rPr>
      <t xml:space="preserve">Land Ownership: Type of Land: </t>
    </r>
    <r>
      <rPr>
        <sz val="11"/>
        <color theme="1"/>
        <rFont val="Calibri"/>
        <family val="2"/>
      </rPr>
      <t>Contiguous footprint of over 218 federal lode mining claims over approximately 4,503 acres plus an Arizona state exploration permit for 640 acres.</t>
    </r>
  </si>
  <si>
    <r>
      <rPr>
        <b/>
        <sz val="11"/>
        <color theme="1"/>
        <rFont val="Calibri"/>
        <family val="2"/>
      </rPr>
      <t>Project Description: Status of Project: </t>
    </r>
    <r>
      <rPr>
        <sz val="11"/>
        <color theme="1"/>
        <rFont val="Calibri"/>
        <family val="2"/>
      </rPr>
      <t xml:space="preserve">The developer’s 2024 diamond core drilling program revealed high-grade copper-silver and lead-zinc-silver veins, underscoring the promise of the project.
</t>
    </r>
    <r>
      <rPr>
        <b/>
        <sz val="11"/>
        <color theme="1"/>
        <rFont val="Calibri"/>
        <family val="2"/>
      </rPr>
      <t xml:space="preserve">Project Description: Regulatory Challenges: </t>
    </r>
    <r>
      <rPr>
        <sz val="11"/>
        <color theme="1"/>
        <rFont val="Calibri"/>
        <family val="2"/>
      </rPr>
      <t xml:space="preserve">A previous developer was awarded a permit by USFS for exploratory drilling but, in 2015, environmental groups persuaded a district court that USFS had not performed an adequate NEPA analysis.  Further delays occurred when the previous developer and another developer disputed land rights around the project.  The current developer again obtained a USFS permit for exploratory drilling and, in 2023-2024, worked with the USFS to defeat another lawsuit against USFS, which called for a preliminary injunction against the exploration permit based on environmental concerns. A key theme of this lawsuit is that USFS allegedly failed to consider the cumulative harm from multiple mining projects in the same mountainous ecosystem.        
</t>
    </r>
    <r>
      <rPr>
        <b/>
        <sz val="11"/>
        <color theme="1"/>
        <rFont val="Calibri"/>
        <family val="2"/>
      </rPr>
      <t>Location: Additional Location Information: </t>
    </r>
    <r>
      <rPr>
        <sz val="11"/>
        <color theme="1"/>
        <rFont val="Calibri"/>
        <family val="2"/>
      </rPr>
      <t xml:space="preserve">Located 20 miles north of the Mexican border, 7 miles from the town of Patagonia (pop 804, 2020), 15.5 miles northeast of the Town of Nogales (pop 19,770, 2020) in southern Arizona; about 50 miles south of Tucson in the in southern Patagonia mountains. 
</t>
    </r>
    <r>
      <rPr>
        <b/>
        <sz val="11"/>
        <color theme="1"/>
        <rFont val="Calibri"/>
        <family val="2"/>
      </rPr>
      <t>Developer Description: Was There Change in Ownership during Project?:</t>
    </r>
    <r>
      <rPr>
        <sz val="11"/>
        <color theme="1"/>
        <rFont val="Calibri"/>
        <family val="2"/>
      </rPr>
      <t xml:space="preserve">The developer acquired 100% ownership of the project from Ragsdale in May 2021.  Previously it was a joint venture.                                                                                                                                                                                  
</t>
    </r>
    <r>
      <rPr>
        <b/>
        <sz val="11"/>
        <color theme="1"/>
        <rFont val="Calibri"/>
        <family val="2"/>
      </rPr>
      <t>Litigation: Evidence of Litigation:</t>
    </r>
    <r>
      <rPr>
        <sz val="11"/>
        <color theme="1"/>
        <rFont val="Calibri"/>
        <family val="2"/>
      </rPr>
      <t xml:space="preserve"> In the first case, environmental groups persuaded a federal district court (2015) to block an exploratory drilling plan until the USFS and the developer completed an adequate environmental analysis (EA). The USFS had granted the developer a categorical exclusion for an EA under NEPA because of the limited duration and scope of the exploration plan.   In the second case, environmentalists in 2023 sought a preliminary injunction against exploratory drilling at the site.  A federal district court and the 9th Circuit refused to grant the injunction; the merits of the lawsuit are being heard in the federal district court in 2024.                                                                                                                                                                                                                                                  </t>
    </r>
  </si>
  <si>
    <r>
      <rPr>
        <b/>
        <sz val="11"/>
        <color theme="1"/>
        <rFont val="Calibri"/>
        <family val="2"/>
      </rPr>
      <t>Project Description: Status of Project:</t>
    </r>
    <r>
      <rPr>
        <sz val="11"/>
        <color theme="1"/>
        <rFont val="Calibri"/>
        <family val="2"/>
      </rPr>
      <t xml:space="preserve"> The fully permitted project is now under construction, with full production scheduled for 2028.
</t>
    </r>
    <r>
      <rPr>
        <b/>
        <sz val="11"/>
        <color theme="1"/>
        <rFont val="Calibri"/>
        <family val="2"/>
      </rPr>
      <t xml:space="preserve">Project Description: Regulatory Challenges: </t>
    </r>
    <r>
      <rPr>
        <sz val="11"/>
        <color theme="1"/>
        <rFont val="Calibri"/>
        <family val="2"/>
      </rPr>
      <t xml:space="preserve">The project was delayed several years due to permitting delays and lawsuits related to the concerns of ranchers, environmentalists and tribal groups.  Regulatory deliberations may not have ended: The USFS has initiated a one-year study of an endangered snail at the project site. 
</t>
    </r>
    <r>
      <rPr>
        <b/>
        <sz val="11"/>
        <color theme="1"/>
        <rFont val="Calibri"/>
        <family val="2"/>
      </rPr>
      <t xml:space="preserve">Location: Additional Location Information: </t>
    </r>
    <r>
      <rPr>
        <sz val="11"/>
        <color theme="1"/>
        <rFont val="Calibri"/>
        <family val="2"/>
      </rPr>
      <t xml:space="preserve">Located 21 miles west-northwest of Orovada (pop 117, 2020) and 60 miles north-northwest of Winnemucca (pop 8,431, 2020) within the McDermitt Caldera (an old volcanic complex on the Nevada-Oregon border); 200 miles north of Reno in northwest Nevada.
</t>
    </r>
    <r>
      <rPr>
        <b/>
        <sz val="11"/>
        <color theme="1"/>
        <rFont val="Calibri"/>
        <family val="2"/>
      </rPr>
      <t xml:space="preserve">Financial Support: Federal Agency: </t>
    </r>
    <r>
      <rPr>
        <sz val="11"/>
        <color theme="1"/>
        <rFont val="Calibri"/>
        <family val="2"/>
      </rPr>
      <t xml:space="preserve">DOE loan in final stages: $2.62 billion for lithium carbonate processing facility.
</t>
    </r>
    <r>
      <rPr>
        <b/>
        <sz val="11"/>
        <color theme="1"/>
        <rFont val="Calibri"/>
        <family val="2"/>
      </rPr>
      <t>Financial Support: Public Supply Agreement w/ an Automaker or Battery/Component Producer:</t>
    </r>
    <r>
      <rPr>
        <sz val="11"/>
        <color theme="1"/>
        <rFont val="Calibri"/>
        <family val="2"/>
      </rPr>
      <t xml:space="preserve"> GM has restructured and expanded financial commitment to Thacker Pass. GM will invest $625 million in Thacker Pass (a 38% stake), Lithium America’s retains majority (62% stake). GM’s original plan was to invest only $328 million in the first phase.  GM receives exclusive rights to output from mine for first 20 years, then 38% of mine’s output in second 20 years. Orion Resource Partners has also invested $250 million in the Thacker Pass Phase I Project, which now means – counting Orion support, GM support and DOE support – the Phase 1 of the Thacker Pass project is fully funded.
</t>
    </r>
    <r>
      <rPr>
        <b/>
        <sz val="11"/>
        <color theme="1"/>
        <rFont val="Calibri"/>
        <family val="2"/>
      </rPr>
      <t xml:space="preserve">Litigation: Evidence of Litigation: </t>
    </r>
    <r>
      <rPr>
        <sz val="11"/>
        <color theme="1"/>
        <rFont val="Calibri"/>
        <family val="2"/>
      </rPr>
      <t xml:space="preserve">There were two lawsuits against BLM's decision about Thacker Pass in the same federal court. The first one focused on the environmental impacts and was led by a rancher, environmental groups, and two tribes. The second brought in additional tribes and focused on whether BLM engaged in proper consultation with the tribes. The plaintiffs lost the original lawsuit  in both the district court and the 9th Circuit. The second one lost in district court and the tribes decided not to appeal to the 9th Circuit. </t>
    </r>
  </si>
  <si>
    <r>
      <rPr>
        <b/>
        <sz val="11"/>
        <color theme="1"/>
        <rFont val="Calibri"/>
        <family val="2"/>
      </rPr>
      <t xml:space="preserve">Project Description: Existing Mine: </t>
    </r>
    <r>
      <rPr>
        <sz val="11"/>
        <color theme="1"/>
        <rFont val="Calibri"/>
        <family val="2"/>
      </rPr>
      <t xml:space="preserve">White Pine Mine is an abandoned site, in 1952 constructed by Copper Range.
</t>
    </r>
    <r>
      <rPr>
        <b/>
        <sz val="11"/>
        <color theme="1"/>
        <rFont val="Calibri"/>
        <family val="2"/>
      </rPr>
      <t>Project Description: Status of Project: </t>
    </r>
    <r>
      <rPr>
        <sz val="11"/>
        <color theme="1"/>
        <rFont val="Calibri"/>
        <family val="2"/>
      </rPr>
      <t xml:space="preserve">In 2024 the developer initiated a second drill program of approximately 14,500 metres to collect samples for engineering study test work, in addition to assaying for the purposes of a resource update.  Key engineering trade-off studies and environmental baselining were also initiated to support permit requests.
</t>
    </r>
    <r>
      <rPr>
        <b/>
        <sz val="11"/>
        <color theme="1"/>
        <rFont val="Calibri"/>
        <family val="2"/>
      </rPr>
      <t xml:space="preserve">Location: Additional Location Information: </t>
    </r>
    <r>
      <rPr>
        <sz val="11"/>
        <color theme="1"/>
        <rFont val="Calibri"/>
        <family val="2"/>
      </rPr>
      <t xml:space="preserve">Located in the western region of the Upper Peninsula, Michigan, near the small communities White Pine (pop 339, 2020), Ontonagon (pop 1,285, 2020), Bergland (pop 141, 2020), Wakefield (pop 1,702, 2020), and Ironwood (pop 5,045, 2020).
</t>
    </r>
    <r>
      <rPr>
        <b/>
        <sz val="11"/>
        <color theme="1"/>
        <rFont val="Calibri"/>
        <family val="2"/>
      </rPr>
      <t xml:space="preserve">Developer Description: Was There Change in Ownership during Project?: </t>
    </r>
    <r>
      <rPr>
        <sz val="11"/>
        <color theme="1"/>
        <rFont val="Calibri"/>
        <family val="2"/>
      </rPr>
      <t>Highland Copper Company Inc. formed a joint venture with Kinterra Copper LLC in July 2023.</t>
    </r>
  </si>
  <si>
    <r>
      <rPr>
        <b/>
        <sz val="11"/>
        <color theme="1"/>
        <rFont val="Calibri"/>
        <family val="2"/>
      </rPr>
      <t xml:space="preserve">Project Description: Mining Method: </t>
    </r>
    <r>
      <rPr>
        <sz val="11"/>
        <color theme="1"/>
        <rFont val="Calibri"/>
        <family val="2"/>
      </rPr>
      <t xml:space="preserve">Undetermined: Developer is researching pretreatment, concentration, extraction, purification and post-treatment of lithium to develop new extraction technologies for brine resources.
</t>
    </r>
    <r>
      <rPr>
        <b/>
        <sz val="11"/>
        <color theme="1"/>
        <rFont val="Calibri"/>
        <family val="2"/>
      </rPr>
      <t>Project Description: Status of Project:</t>
    </r>
    <r>
      <rPr>
        <sz val="11"/>
        <color theme="1"/>
        <rFont val="Calibri"/>
        <family val="2"/>
      </rPr>
      <t xml:space="preserve"> In 2023-2024, the developer demonstrated through first-ever diamond drilling and clay separation that the Playa may host a top-tier lithium deposit extending from the developer’s ground through claims leased by the Defense Department. The developer’s BLM claims to the south may provide some of the most compelling targets on the property, and are a priority in the next phase of drilling.
</t>
    </r>
    <r>
      <rPr>
        <b/>
        <sz val="11"/>
        <color theme="1"/>
        <rFont val="Calibri"/>
        <family val="2"/>
      </rPr>
      <t>Location: Additional Location Information:</t>
    </r>
    <r>
      <rPr>
        <sz val="11"/>
        <color theme="1"/>
        <rFont val="Calibri"/>
        <family val="2"/>
      </rPr>
      <t xml:space="preserve"> Located in southeast Arizona near the town of Wilcox (3,213 pop, 2020) and the Cochise Stronghold, a beautiful woodland area;  200 miles southeast of Phoenix. 
</t>
    </r>
    <r>
      <rPr>
        <b/>
        <sz val="11"/>
        <color theme="1"/>
        <rFont val="Calibri"/>
        <family val="2"/>
      </rPr>
      <t xml:space="preserve">Land Ownership: Type of Land: </t>
    </r>
    <r>
      <rPr>
        <sz val="11"/>
        <color theme="1"/>
        <rFont val="Calibri"/>
        <family val="2"/>
      </rPr>
      <t>The developer acquired 3,754 acres, mostly leased from the state of Arizona. Southern claims are BLM land.</t>
    </r>
  </si>
  <si>
    <r>
      <t>Project Description: Existing Mine:</t>
    </r>
    <r>
      <rPr>
        <sz val="11"/>
        <color rgb="FF434343"/>
        <rFont val="Roboto"/>
      </rPr>
      <t xml:space="preserve"> One of the largest open-pit copper mines in the world; it began operations in 1906. Since acquiring the Kennecott operations in 1989, Rio Tinto has invested more than $5 billion towards modernisation, environmental upgrades and mine-life extension.
</t>
    </r>
    <r>
      <rPr>
        <b/>
        <sz val="11"/>
        <color rgb="FF434343"/>
        <rFont val="Roboto"/>
      </rPr>
      <t xml:space="preserve">Project Description: Status of Project: </t>
    </r>
    <r>
      <rPr>
        <sz val="11"/>
        <color rgb="FF434343"/>
        <rFont val="Roboto"/>
      </rPr>
      <t xml:space="preserve">Rio Tinto is expanding the underground portion of the mine with a $920 million investment. Copper production from the underground north rim skarn began in 2024; operations are planned to deliver around 250,000 tons of mined copper over the next 10 years, roughly 25% of US copper consumption.
</t>
    </r>
    <r>
      <rPr>
        <b/>
        <sz val="11"/>
        <color rgb="FF434343"/>
        <rFont val="Roboto"/>
      </rPr>
      <t xml:space="preserve">Location: Additional Location Information: </t>
    </r>
    <r>
      <rPr>
        <sz val="11"/>
        <color rgb="FF434343"/>
        <rFont val="Roboto"/>
      </rPr>
      <t xml:space="preserve">Located near town of Herriman (55,144, 2020), Salt Lake County, Utah. Eastern portion of the Oquirrh Mountains, approximately 16 miles south-west of the Salt Lake City, Utah, US.
</t>
    </r>
    <r>
      <rPr>
        <b/>
        <sz val="11"/>
        <color rgb="FF434343"/>
        <rFont val="Roboto"/>
      </rPr>
      <t xml:space="preserve">Developer Description: Lead Developer: </t>
    </r>
    <r>
      <rPr>
        <sz val="11"/>
        <color rgb="FF434343"/>
        <rFont val="Roboto"/>
      </rPr>
      <t xml:space="preserve">The company was first formed in 1898 as the Boston Consolidated Mining Company. The current corporation was formed in 1989.
</t>
    </r>
    <r>
      <rPr>
        <b/>
        <sz val="11"/>
        <color rgb="FF434343"/>
        <rFont val="Roboto"/>
      </rPr>
      <t xml:space="preserve">Developer Description: Was There Change in Ownership during Project?: </t>
    </r>
    <r>
      <rPr>
        <sz val="11"/>
        <color rgb="FF434343"/>
        <rFont val="Roboto"/>
      </rPr>
      <t xml:space="preserve">Rio Tinto acquired the Kennecott operations in 1989.
</t>
    </r>
    <r>
      <rPr>
        <b/>
        <sz val="11"/>
        <color rgb="FF434343"/>
        <rFont val="Roboto"/>
      </rPr>
      <t xml:space="preserve">Development Plans: Processing Done by the Same Lead Developer/Parent Company: </t>
    </r>
    <r>
      <rPr>
        <sz val="11"/>
        <color rgb="FF434343"/>
        <rFont val="Roboto"/>
      </rPr>
      <t>Virtually all processing is performed on site. Crushed ore is transported on a 5-mile conveyor and stockpiled at the Concentrator, where it is ground into fine particles. After treatment with air, water, and chemical reagents, the concentrate is transported to a smelter via pipeline.</t>
    </r>
  </si>
  <si>
    <r>
      <rPr>
        <b/>
        <sz val="11"/>
        <color theme="1"/>
        <rFont val="Calibri"/>
        <family val="2"/>
      </rPr>
      <t xml:space="preserve">Project Description: Status of Project: </t>
    </r>
    <r>
      <rPr>
        <sz val="11"/>
        <color theme="1"/>
        <rFont val="Calibri"/>
        <family val="2"/>
      </rPr>
      <t xml:space="preserve">The developer began drilling on private land in 2022 and is engaged in expanded diamond core exploratory drilling under permits from the South Dakota Department of Agriculture and Natural Resources.  
</t>
    </r>
    <r>
      <rPr>
        <b/>
        <sz val="11"/>
        <color theme="1"/>
        <rFont val="Calibri"/>
        <family val="2"/>
      </rPr>
      <t xml:space="preserve">Location: Additional Location Information: </t>
    </r>
    <r>
      <rPr>
        <sz val="11"/>
        <color theme="1"/>
        <rFont val="Calibri"/>
        <family val="2"/>
      </rPr>
      <t xml:space="preserve">Four miles south of Custer (population 1,919, 2020), Custer County, southwestern South Dakota. 
</t>
    </r>
    <r>
      <rPr>
        <b/>
        <sz val="11"/>
        <color theme="1"/>
        <rFont val="Calibri"/>
        <family val="2"/>
      </rPr>
      <t xml:space="preserve">Land Ownership: Type of Land: </t>
    </r>
    <r>
      <rPr>
        <sz val="11"/>
        <color theme="1"/>
        <rFont val="Calibri"/>
        <family val="2"/>
      </rPr>
      <t xml:space="preserve">The developer controls an expansive footprint of 2,469 federal mineral lode claims, including 33Ha of patented claims and 22,300Ha of BLM claims.  </t>
    </r>
  </si>
  <si>
    <r>
      <rPr>
        <b/>
        <sz val="11"/>
        <color theme="1"/>
        <rFont val="Calibri"/>
        <family val="2"/>
      </rPr>
      <t xml:space="preserve">Project Description: Project Name: </t>
    </r>
    <r>
      <rPr>
        <sz val="11"/>
        <color theme="1"/>
        <rFont val="Calibri"/>
        <family val="2"/>
      </rPr>
      <t xml:space="preserve">The Black Hills -- Patriot Lithium project is made up of the Tinton West Project (South Dakota/Wyoming) and the Keystone Project (South Dakota).
</t>
    </r>
    <r>
      <rPr>
        <b/>
        <sz val="11"/>
        <color theme="1"/>
        <rFont val="Calibri"/>
        <family val="2"/>
      </rPr>
      <t xml:space="preserve">Project Description: Existing Mine: </t>
    </r>
    <r>
      <rPr>
        <sz val="11"/>
        <color theme="1"/>
        <rFont val="Calibri"/>
        <family val="2"/>
      </rPr>
      <t xml:space="preserve">The Etta Mine at Keystone was an important global lithium source in the first half of the 20th century and operated for over 60 years (1898 to 1960). At times it was the main source of spodumene in the world and is famous for its very large (up to &gt;14 m-long) spodumene crystals, the largest known on Earth.
</t>
    </r>
    <r>
      <rPr>
        <b/>
        <sz val="11"/>
        <color theme="1"/>
        <rFont val="Calibri"/>
        <family val="2"/>
      </rPr>
      <t xml:space="preserve">Project Description: Status of Project: </t>
    </r>
    <r>
      <rPr>
        <sz val="11"/>
        <color theme="1"/>
        <rFont val="Calibri"/>
        <family val="2"/>
      </rPr>
      <t xml:space="preserve">In 2023 the developer began a mapping and sampling program following its recently completed reconnaissance work, which identified areas of high prospectivity for pegmatite-hosted lithium mineralization. The developer’s exploration activities have confirmed that the site, once a lithium mine, is a promising site for lithium development.  Patriot Lithium is expanding exploration at its prospective Black Hills portfolio, which includes the Keystone and Tinton West projects across South Dakota and Wyoming. 
</t>
    </r>
    <r>
      <rPr>
        <b/>
        <sz val="11"/>
        <color theme="1"/>
        <rFont val="Calibri"/>
        <family val="2"/>
      </rPr>
      <t xml:space="preserve">Location: Additional Location Information: </t>
    </r>
    <r>
      <rPr>
        <sz val="11"/>
        <color theme="1"/>
        <rFont val="Calibri"/>
        <family val="2"/>
      </rPr>
      <t xml:space="preserve">Trinton West Project -- The Tinton West Project is situated in the northern Black Hills straddling the boundary between Lawrence County, South Dakota, and Crook County, Wyoming. The Project area is located 18 km southwest of the town of Spearfish (pop 13,282, 2023) and 72 km northwest of Rapid City (pop 74,703, 2020). Of the 69 unpatented lode mining claims at the Tinton West Project, 20 are located in South Dakota (referred to as the TSD Claim Group) and 49 are located in Wyoming (TW Claim Group). All claims are wholly owned by Patriot Lithium; Keystone Project -- The Keystone Project encircles the town of Keystone (pop 240, 2020), Pennington County, a small settlement in the central-eastern Black Hills, approximately 26 km southwest of Rapid City (pop 74,703, 2020), the 2nd largest city in the state of South Dakota. The Keystone Project comprises 255 unpatented lode mining claims in four separate blocks that are held 100% by Patriot Lithium. The claims, referred to as the Key Claim Group, are located on public lands in the Black Hills National Forest of Pennington and Custer counties, South Dakota. 
</t>
    </r>
    <r>
      <rPr>
        <b/>
        <sz val="11"/>
        <color theme="1"/>
        <rFont val="Calibri"/>
        <family val="2"/>
      </rPr>
      <t xml:space="preserve">Location: Mining District: </t>
    </r>
    <r>
      <rPr>
        <sz val="11"/>
        <color theme="1"/>
        <rFont val="Calibri"/>
        <family val="2"/>
      </rPr>
      <t xml:space="preserve">The Black Hills mining region of South Dakota is perhaps best known for its rich gold deposits like Homestake, where 44Moz was mined over 100 years. But, until recently, most people wouldn’t have been aware of its history as one of the largest producing lithium districts in the world from the late 1800s to the mid to late 1900s. It is not one of those lithium districts previously mined for its tin or tantalum – this was a true lithium mining district. That means the geology and metallurgy is well understood.  It also boasts the largest spodumene crystals (~6% lithium) in the world. How big? The Etta mine — at times the main source of spodumene in the world — yielded the largest (up to 15m long, weighing 90 tonnes) spodumene crystals ever mined. 
</t>
    </r>
    <r>
      <rPr>
        <b/>
        <sz val="11"/>
        <color theme="1"/>
        <rFont val="Calibri"/>
        <family val="2"/>
      </rPr>
      <t xml:space="preserve">Developer Description: Lead Developer: </t>
    </r>
    <r>
      <rPr>
        <sz val="11"/>
        <color theme="1"/>
        <rFont val="Calibri"/>
        <family val="2"/>
      </rPr>
      <t xml:space="preserve">Patriot Lithium (AU) was founded in 2021; Patriot Lithium has secured a binding option agreement to acquire an 80% stake in the Katwaro Copper Project in Zambia from Array Metals and Natural Resources. The move aims to diversify the company’s asset portfolio and provide jurisdictional diversity. The Katwaro Project near Mumbwa encompasses 400ha and features a historical open-pit mine with copper-bearing meta-sediments.
</t>
    </r>
    <r>
      <rPr>
        <b/>
        <sz val="11"/>
        <color theme="1"/>
        <rFont val="Calibri"/>
        <family val="2"/>
      </rPr>
      <t xml:space="preserve">Land Ownership: Type of Land: </t>
    </r>
    <r>
      <rPr>
        <sz val="11"/>
        <color theme="1"/>
        <rFont val="Calibri"/>
        <family val="2"/>
      </rPr>
      <t>Black Hills National Forest (USFS).</t>
    </r>
  </si>
  <si>
    <r>
      <rPr>
        <b/>
        <sz val="11"/>
        <color theme="1"/>
        <rFont val="Calibri"/>
        <family val="2"/>
      </rPr>
      <t xml:space="preserve">Project Description: Project Name: </t>
    </r>
    <r>
      <rPr>
        <sz val="11"/>
        <color theme="1"/>
        <rFont val="Calibri"/>
        <family val="2"/>
      </rPr>
      <t xml:space="preserve">The developer is now using the name “Copper World Complex” to refer to a 44-year plan to mine on both sides of the mountains, an area that includes the former Rosemont project, the former Copper World project and additional private land the developer has acquired. 
</t>
    </r>
    <r>
      <rPr>
        <b/>
        <sz val="11"/>
        <color theme="1"/>
        <rFont val="Calibri"/>
        <family val="2"/>
      </rPr>
      <t>Project Description: Status of Project: </t>
    </r>
    <r>
      <rPr>
        <sz val="11"/>
        <color theme="1"/>
        <rFont val="Calibri"/>
        <family val="2"/>
      </rPr>
      <t xml:space="preserve">The developer in 2023/2024 acquired the three necessary state permits: the Mined Land Reclamation Plan, the Aquifer Protection Permit, and the Air Quality Permit.  Phase 1 of the Copper World Complex, a 16-year plan, would develop the west side of the mountains with four open pits and three tailings dumps on approximately 4,500 acres of private land.  One of the flexible features of Phase 1 is that, since it does not use public land, the permits required would involve only the state of Arizona rather than the federal government.  To complete the Complex on the east side would require permits from the USFS. 
</t>
    </r>
    <r>
      <rPr>
        <b/>
        <sz val="11"/>
        <color theme="1"/>
        <rFont val="Calibri"/>
        <family val="2"/>
      </rPr>
      <t xml:space="preserve">Project Description: Regulatory Challenges: </t>
    </r>
    <r>
      <rPr>
        <sz val="11"/>
        <color theme="1"/>
        <rFont val="Calibri"/>
        <family val="2"/>
      </rPr>
      <t xml:space="preserve">Despite years of work and support from the State, the developer lost the Rosemont Project due to federal regulatory complications. The 9th Circuit ruled the developer may not dispose of waste material on adjacent public land, causing indefinite delay of the Rosemont project. 
</t>
    </r>
    <r>
      <rPr>
        <b/>
        <sz val="11"/>
        <color theme="1"/>
        <rFont val="Calibri"/>
        <family val="2"/>
      </rPr>
      <t xml:space="preserve">Location: Additional Location Information:  </t>
    </r>
    <r>
      <rPr>
        <sz val="11"/>
        <color theme="1"/>
        <rFont val="Calibri"/>
        <family val="2"/>
      </rPr>
      <t xml:space="preserve">Located approximately 30 miles southeast of Tucson in southern Arizona on Coronado National Forest land on the east slope of the Santa Rita Mountains. The nearest established communities are Sonoita (pop 803, 2020) and Vail (pop 13,604, 2020). The larger Copper World project includes land on the west slope of the Santa Ritas that was not part of the Rosemont Project.  
</t>
    </r>
    <r>
      <rPr>
        <b/>
        <sz val="11"/>
        <color theme="1"/>
        <rFont val="Calibri"/>
        <family val="2"/>
      </rPr>
      <t xml:space="preserve">Developer Description: Was There Change in Ownership during Project?:  </t>
    </r>
    <r>
      <rPr>
        <sz val="11"/>
        <color theme="1"/>
        <rFont val="Calibri"/>
        <family val="2"/>
      </rPr>
      <t xml:space="preserve">Hudbay began purchasing shares of Augusta Resource Corporation of Canada in 2010.
</t>
    </r>
    <r>
      <rPr>
        <b/>
        <sz val="11"/>
        <color theme="1"/>
        <rFont val="Calibri"/>
        <family val="2"/>
      </rPr>
      <t xml:space="preserve">Development Plans: Planned Production Capacity: </t>
    </r>
    <r>
      <rPr>
        <sz val="11"/>
        <color theme="1"/>
        <rFont val="Calibri"/>
        <family val="2"/>
      </rPr>
      <t xml:space="preserve">Plan is to produce 1.5 million tons of copper over 15 years and 3.4 million tons over 28 years.  
</t>
    </r>
    <r>
      <rPr>
        <b/>
        <sz val="11"/>
        <color theme="1"/>
        <rFont val="Calibri"/>
        <family val="2"/>
      </rPr>
      <t xml:space="preserve">Land Ownership: Type of Land: </t>
    </r>
    <r>
      <rPr>
        <sz val="11"/>
        <color theme="1"/>
        <rFont val="Calibri"/>
        <family val="2"/>
      </rPr>
      <t xml:space="preserve">Public and Private- located partly within the Coronado National Forest near Tucson on 995 acres on private land, 75 acres of state-owned land, and 3,670 acres of mining claims on FS land.
</t>
    </r>
    <r>
      <rPr>
        <b/>
        <sz val="11"/>
        <color theme="1"/>
        <rFont val="Calibri"/>
        <family val="2"/>
      </rPr>
      <t xml:space="preserve">Litigation: Evidence of Litigation: </t>
    </r>
    <r>
      <rPr>
        <sz val="11"/>
        <color theme="1"/>
        <rFont val="Calibri"/>
        <family val="2"/>
      </rPr>
      <t>A split 9th Circuit panel (2-1) upheld a district court ruling that the developer had established mineral prospects on only 300+ acres of Rosemont land but used an “in connection” with argument to allow waste and tailings to be discarded on nearby lands that have no demonstrated mineral potential.  The panel determined that no statute permits disposal of wastes on federal land without mineral deposits.  The US Supreme Court declined to hear an appeal.</t>
    </r>
  </si>
  <si>
    <r>
      <rPr>
        <b/>
        <sz val="11"/>
        <color theme="1"/>
        <rFont val="Calibri"/>
        <family val="2"/>
      </rPr>
      <t xml:space="preserve">Project Description: Status of Project: </t>
    </r>
    <r>
      <rPr>
        <sz val="11"/>
        <color theme="1"/>
        <rFont val="Calibri"/>
        <family val="2"/>
      </rPr>
      <t xml:space="preserve">In January 2024 the developer released the Critical Minerals Exploration and Mine Plan of Operations, a roadmap of operational activities at the Hermosa project from start to finish, as the project is located on lands managed by the Coronado National Forest. Later in 2024, the developer secured from the state a key air quality permit.
</t>
    </r>
    <r>
      <rPr>
        <b/>
        <sz val="11"/>
        <color theme="1"/>
        <rFont val="Calibri"/>
        <family val="2"/>
      </rPr>
      <t xml:space="preserve">Project Description: Regulatory Challenges: </t>
    </r>
    <r>
      <rPr>
        <sz val="11"/>
        <color theme="1"/>
        <rFont val="Calibri"/>
        <family val="2"/>
      </rPr>
      <t xml:space="preserve">The USFS approved a 15-hole exploration plan in October 2011.  Under litigation pressure from wildlife and conservation groups, USFS withdrew approval of the exploration plan in April 2012. The developer and USFS then worked for several years on a revised environmental assessment. 
</t>
    </r>
    <r>
      <rPr>
        <b/>
        <sz val="11"/>
        <color theme="1"/>
        <rFont val="Calibri"/>
        <family val="2"/>
      </rPr>
      <t xml:space="preserve">Location: Additional Location Information: </t>
    </r>
    <r>
      <rPr>
        <sz val="11"/>
        <color theme="1"/>
        <rFont val="Calibri"/>
        <family val="2"/>
      </rPr>
      <t xml:space="preserve">Located near Nogales (pop 19,770, 2020) in the abandoned mining district of Harshaw, Patagonia Mountains, southern Arizona; 50 miles southeast of Tucson, 20 miles from US-Mexican border.
</t>
    </r>
    <r>
      <rPr>
        <b/>
        <sz val="11"/>
        <color theme="1"/>
        <rFont val="Calibri"/>
        <family val="2"/>
      </rPr>
      <t xml:space="preserve">Developer Description: Was There Change in Ownership during Project?: </t>
    </r>
    <r>
      <rPr>
        <sz val="11"/>
        <color theme="1"/>
        <rFont val="Calibri"/>
        <family val="2"/>
      </rPr>
      <t xml:space="preserve">Acquired Phelps-Dodge in 2007.
</t>
    </r>
    <r>
      <rPr>
        <b/>
        <sz val="11"/>
        <color theme="1"/>
        <rFont val="Calibri"/>
        <family val="2"/>
      </rPr>
      <t>Development Plans: Planned Lifespan of Mine: </t>
    </r>
    <r>
      <rPr>
        <sz val="11"/>
        <color theme="1"/>
        <rFont val="Calibri"/>
        <family val="2"/>
      </rPr>
      <t xml:space="preserve">Estimated Mine Life: 2056
</t>
    </r>
    <r>
      <rPr>
        <b/>
        <sz val="11"/>
        <color theme="1"/>
        <rFont val="Calibri"/>
        <family val="2"/>
      </rPr>
      <t xml:space="preserve">Financial Support: Federal Agency: </t>
    </r>
    <r>
      <rPr>
        <sz val="11"/>
        <color theme="1"/>
        <rFont val="Calibri"/>
        <family val="2"/>
      </rPr>
      <t xml:space="preserve">$20M federal support from DOD under the Defense Production Act Battery Program. DOE providing $166M, or up to one third of the cost of the manganese production facility at the Hermosa mine.  
</t>
    </r>
    <r>
      <rPr>
        <b/>
        <sz val="11"/>
        <color theme="1"/>
        <rFont val="Calibri"/>
        <family val="2"/>
      </rPr>
      <t xml:space="preserve">Land Ownership: Type of Land: </t>
    </r>
    <r>
      <rPr>
        <sz val="11"/>
        <color theme="1"/>
        <rFont val="Calibri"/>
        <family val="2"/>
      </rPr>
      <t xml:space="preserve">Purchased from the BLM: In September 2005, as part of a "land swap", Phelps Dodge (which was subsequently purchased by Freeport-McMoran) transferred 3,867 acres of "environmentally sensitive" land to the BLM and purchased 16,297 acres located next to proposed mine from the BLM. In order to reach full production, the mine must also obtain approval from USFS because of proximity to a national forest.  That process is underway.
</t>
    </r>
    <r>
      <rPr>
        <b/>
        <sz val="11"/>
        <color theme="1"/>
        <rFont val="Calibri"/>
        <family val="2"/>
      </rPr>
      <t>Litigation: Evidence of Litigation:</t>
    </r>
    <r>
      <rPr>
        <sz val="11"/>
        <color theme="1"/>
        <rFont val="Calibri"/>
        <family val="2"/>
      </rPr>
      <t xml:space="preserve"> A federal district court has ordered the Forest Service to complete a Supplemental Information Report and consider another report under the National Environmental Policy Act; the court gave both parties a schedule of deadlines extending through April 2025. Both the district court and the 9th Circuit denied requests from environmentalists to halt exploratory drilling while litigation against USFS exploratory permit is resolved. </t>
    </r>
  </si>
  <si>
    <r>
      <rPr>
        <b/>
        <sz val="11"/>
        <color theme="1"/>
        <rFont val="Calibri"/>
        <family val="2"/>
      </rPr>
      <t xml:space="preserve">Project Description: Existing Mine: </t>
    </r>
    <r>
      <rPr>
        <sz val="11"/>
        <color theme="1"/>
        <rFont val="Calibri"/>
        <family val="2"/>
      </rPr>
      <t xml:space="preserve">The lithium mine at Kings Mountain, North Carolina was operated intermittently beginning in the 1940s and more consistently after Foote Mineral Company acquired and reopened the site in 1950. Production of lithium concentrates resumed in 1951. The mine was closed and allowed to flood in 1996, when Foote Mineral (by then owned by Cyprus Amax) ceased operations due to the economic advantages of lower-cost lithium extraction from brine in South America. 
</t>
    </r>
    <r>
      <rPr>
        <b/>
        <sz val="11"/>
        <color theme="1"/>
        <rFont val="Calibri"/>
        <family val="2"/>
      </rPr>
      <t>Project Description: Status of Project: </t>
    </r>
    <r>
      <rPr>
        <sz val="11"/>
        <color theme="1"/>
        <rFont val="Calibri"/>
        <family val="2"/>
      </rPr>
      <t xml:space="preserve">Exploratory drilling began in 2017; the developer has drilled more than 300,000 feet of core across the property. The developer has invested approximately $100 million over the last five years in studies and testing to determine the commercial promise of the site; The developer's original plan was to restart the mine in 2026 but that plan has been delayed due to the lithium-price slump and financial issues. Nonetheless, in September 2024, the developer submitted applications for several state and federal permits that are required to relaunch mining at Kings Mountain.
</t>
    </r>
    <r>
      <rPr>
        <b/>
        <sz val="11"/>
        <color theme="1"/>
        <rFont val="Calibri"/>
        <family val="2"/>
      </rPr>
      <t xml:space="preserve">Location: Additional Location Information: </t>
    </r>
    <r>
      <rPr>
        <sz val="11"/>
        <color theme="1"/>
        <rFont val="Calibri"/>
        <family val="2"/>
      </rPr>
      <t xml:space="preserve">Located near Kings Mountain (pop 11,142, 2020), 35 miles west of Charlotte, North Carolina. Most of the town is in Cleveland County, with a small eastern portion in Gaston County.  The project site is off Interstate 85.
</t>
    </r>
    <r>
      <rPr>
        <b/>
        <sz val="11"/>
        <color theme="1"/>
        <rFont val="Calibri"/>
        <family val="2"/>
      </rPr>
      <t>Developer Description: Lead Developer:</t>
    </r>
    <r>
      <rPr>
        <sz val="11"/>
        <color theme="1"/>
        <rFont val="Calibri"/>
        <family val="2"/>
      </rPr>
      <t xml:space="preserve"> Albemarle acquired the site in 2015. The developer (Albemarle) is a large global specialty chemicals company.  Its lithium business includes lithium through its own salt brine assets in Chile and the United States and two joint venture interests in hard-rock Australian mines, Talison (Greenbushes) and Wodgina.  It is developing additional lithium mines in the US and Argentina.The recent collapse of global lithium prices has caused Albemarle to lay off employees and curb capital spending in both 2023 and 2024. 
</t>
    </r>
    <r>
      <rPr>
        <b/>
        <sz val="11"/>
        <color theme="1"/>
        <rFont val="Calibri"/>
        <family val="2"/>
      </rPr>
      <t>Developer Description: Was There Change in Ownership during Project?: </t>
    </r>
    <r>
      <rPr>
        <sz val="11"/>
        <color theme="1"/>
        <rFont val="Calibri"/>
        <family val="2"/>
      </rPr>
      <t xml:space="preserve">The developer purchased the abandoned site in 2015.  
</t>
    </r>
    <r>
      <rPr>
        <b/>
        <sz val="11"/>
        <color theme="1"/>
        <rFont val="Calibri"/>
        <family val="2"/>
      </rPr>
      <t xml:space="preserve">Development Plans: Planned Production Capacity: </t>
    </r>
    <r>
      <rPr>
        <sz val="11"/>
        <color theme="1"/>
        <rFont val="Calibri"/>
        <family val="2"/>
      </rPr>
      <t xml:space="preserve">Newly estimated annual volume of production is 420,000 tonnes, which is drastically larger than the previous 50,000 ton output. The new estimate comes after the proposed mine was expanded 900 feet southwest of its previous position. 
</t>
    </r>
    <r>
      <rPr>
        <b/>
        <sz val="11"/>
        <color theme="1"/>
        <rFont val="Calibri"/>
        <family val="2"/>
      </rPr>
      <t xml:space="preserve">Development Plans: Processing Done by the Same Lead Developer/Parent Company: </t>
    </r>
    <r>
      <rPr>
        <sz val="11"/>
        <color theme="1"/>
        <rFont val="Calibri"/>
        <family val="2"/>
      </rPr>
      <t xml:space="preserve">The developer currently operates a lithium processing facility at Kings Mountain with a production capacity of 5,500 tons per year. The developer also announced plans to create a “mega-flex” lithium conversion facility in the U.S. Southeast that would process up to 100,000 tons of lithium per year. The Kings Mountain mine would provide roughly half the raw material for the new plant.
</t>
    </r>
    <r>
      <rPr>
        <b/>
        <sz val="11"/>
        <color theme="1"/>
        <rFont val="Calibri"/>
        <family val="2"/>
      </rPr>
      <t xml:space="preserve">Financial Support: Federal Agency: </t>
    </r>
    <r>
      <rPr>
        <sz val="11"/>
        <color theme="1"/>
        <rFont val="Calibri"/>
        <family val="2"/>
      </rPr>
      <t xml:space="preserve">The $90 million grant from DOD is unusual because it can be used to pay the costs of reopening the mine, especially mining equipment.
</t>
    </r>
    <r>
      <rPr>
        <b/>
        <sz val="11"/>
        <color theme="1"/>
        <rFont val="Calibri"/>
        <family val="2"/>
      </rPr>
      <t xml:space="preserve">Financial Support: Grant/Loan: </t>
    </r>
    <r>
      <rPr>
        <sz val="11"/>
        <color theme="1"/>
        <rFont val="Calibri"/>
        <family val="2"/>
      </rPr>
      <t>In October 2022 the developer received a $150 million grant from DOE for processing facility site development, for the company's expanding Silver Peak Mine in Nevada, and for training/research in Cleveland, Ohio and Raleigh, North Carolina. At King's Mountain, the funds will pay a portion of the cost of a new commercial scale lithium concentrator facility</t>
    </r>
  </si>
  <si>
    <r>
      <rPr>
        <b/>
        <sz val="11"/>
        <color theme="1"/>
        <rFont val="Calibri"/>
        <family val="2"/>
      </rPr>
      <t xml:space="preserve">Project Description: Project Name: </t>
    </r>
    <r>
      <rPr>
        <sz val="11"/>
        <color theme="1"/>
        <rFont val="Calibri"/>
        <family val="2"/>
      </rPr>
      <t xml:space="preserve">Project also called Montanore
</t>
    </r>
    <r>
      <rPr>
        <b/>
        <sz val="11"/>
        <color theme="1"/>
        <rFont val="Calibri"/>
        <family val="2"/>
      </rPr>
      <t xml:space="preserve">Project Description: Existing Mine: </t>
    </r>
    <r>
      <rPr>
        <sz val="11"/>
        <color theme="1"/>
        <rFont val="Calibri"/>
        <family val="2"/>
      </rPr>
      <t xml:space="preserve">Noranda Minerals initiated development of the Libby Exploration Project in 1989 but halted it in 2001, maintaining only reclamation work. In 2015, Hecla Mining acquired the project, along with the Montanore and Rock Creek mines in Montana. In 2022, Hecla decided to focus on obtaining new permits for the Montanore mine, putting the Rock Creek mine on the backburner.
</t>
    </r>
    <r>
      <rPr>
        <b/>
        <sz val="11"/>
        <color theme="1"/>
        <rFont val="Calibri"/>
        <family val="2"/>
      </rPr>
      <t>Project Description: Status of Project: </t>
    </r>
    <r>
      <rPr>
        <sz val="11"/>
        <color theme="1"/>
        <rFont val="Calibri"/>
        <family val="2"/>
      </rPr>
      <t xml:space="preserve">A new Plan of Operations for the Libby Exploration project limited to underground exploration and evaluation activities was submitted to the U.S. Forest Service and is currently under an Environmental Assessment review. The developer is making another effort (November 2024) to replace the old water permit with a new water permit.  If it is approved, the new permit would take the place of the active permit issued in 2006, which Montana DEQ proposes to terminate. DEQ previously issued a renewal permit in 2017, which was vacated by the Montana Supreme Court in 2020 following litigation. The new permit reassesses and updates how the developer will meet applicable water quality standards.; In 2025, this project was added by the Trump administration to the FAST-41 dashboard to accelerate its permitting. 
</t>
    </r>
    <r>
      <rPr>
        <b/>
        <sz val="11"/>
        <color theme="1"/>
        <rFont val="Calibri"/>
        <family val="2"/>
      </rPr>
      <t xml:space="preserve">Location: Additional Location Information: </t>
    </r>
    <r>
      <rPr>
        <sz val="11"/>
        <color theme="1"/>
        <rFont val="Calibri"/>
        <family val="2"/>
      </rPr>
      <t xml:space="preserve">Located 23 miles south of Libby (pop 2,775, 2020), the county seat of Lincoln County, in northwestern Montana; Libby is at the confluence of Libby Creek and the Kootenai River.
</t>
    </r>
    <r>
      <rPr>
        <b/>
        <sz val="11"/>
        <color theme="1"/>
        <rFont val="Calibri"/>
        <family val="2"/>
      </rPr>
      <t>Developer Description: Was There Change in Ownership during Project?: </t>
    </r>
    <r>
      <rPr>
        <sz val="11"/>
        <color theme="1"/>
        <rFont val="Calibri"/>
        <family val="2"/>
      </rPr>
      <t xml:space="preserve">Hecla acquired the Libby Exploration (Montanore) Project in September 2016 with the acquisition of Mines Management Inc. 
</t>
    </r>
    <r>
      <rPr>
        <b/>
        <sz val="11"/>
        <color theme="1"/>
        <rFont val="Calibri"/>
        <family val="2"/>
      </rPr>
      <t xml:space="preserve">Development Plans: Planned Production Capacity: </t>
    </r>
    <r>
      <rPr>
        <sz val="11"/>
        <color theme="1"/>
        <rFont val="Calibri"/>
        <family val="2"/>
      </rPr>
      <t xml:space="preserve">A 2011 PEA stated the mine would produce 58,873,000 tons at 1.9oz/st silver and 0.7% copper.
</t>
    </r>
    <r>
      <rPr>
        <b/>
        <sz val="11"/>
        <color theme="1"/>
        <rFont val="Calibri"/>
        <family val="2"/>
      </rPr>
      <t xml:space="preserve">Land Ownership: Type of Land: </t>
    </r>
    <r>
      <rPr>
        <sz val="11"/>
        <color theme="1"/>
        <rFont val="Calibri"/>
        <family val="2"/>
      </rPr>
      <t>Cabinet Mountains Wilderness</t>
    </r>
    <r>
      <rPr>
        <b/>
        <sz val="11"/>
        <color theme="1"/>
        <rFont val="Calibri"/>
        <family val="2"/>
      </rPr>
      <t xml:space="preserve">
Litigation: Evidence of Litigation: </t>
    </r>
    <r>
      <rPr>
        <sz val="11"/>
        <color theme="1"/>
        <rFont val="Calibri"/>
        <family val="2"/>
      </rPr>
      <t>Since Hecla’s acquisition, the project has faced numerous legal challenges. One lawsuit concerned the validity of the developer’s water discharge permit; the other suit alleged that the developer should not be allowed to proceed on the project because the CEO was covered by the state’s “bad actor” law due to the company’s bankruptcy and behaviors in the 1990s that caused unremediated contamination at the site.  A coalition of tribes and environmental groups initiated both lawsuits.  The second lawsuit became moot when the CEO stepped down in early 2024.</t>
    </r>
    <r>
      <rPr>
        <b/>
        <sz val="11"/>
        <color theme="1"/>
        <rFont val="Calibri"/>
        <family val="2"/>
      </rPr>
      <t xml:space="preserve">
Litigation: Level of Court: </t>
    </r>
    <r>
      <rPr>
        <sz val="11"/>
        <color theme="1"/>
        <rFont val="Calibri"/>
        <family val="2"/>
      </rPr>
      <t>Affirming the district court, the Montana Supreme Court in November 2020 invalidated the water permit that the state had awarded the developer many years earlier.  The developer was required to request a new water permit, if it wished to proceed.</t>
    </r>
  </si>
  <si>
    <r>
      <rPr>
        <b/>
        <sz val="11"/>
        <color theme="1"/>
        <rFont val="Calibri"/>
        <family val="2"/>
      </rPr>
      <t xml:space="preserve">Project Description: Mining Method: </t>
    </r>
    <r>
      <rPr>
        <sz val="11"/>
        <color theme="1"/>
        <rFont val="Calibri"/>
        <family val="2"/>
      </rPr>
      <t xml:space="preserve">open-pit. 
</t>
    </r>
    <r>
      <rPr>
        <b/>
        <sz val="11"/>
        <color theme="1"/>
        <rFont val="Calibri"/>
        <family val="2"/>
      </rPr>
      <t xml:space="preserve">Project Description: Existing Mine: </t>
    </r>
    <r>
      <rPr>
        <sz val="11"/>
        <color theme="1"/>
        <rFont val="Calibri"/>
        <family val="2"/>
      </rPr>
      <t xml:space="preserve">Historical production of 161 million pounds of copper at 2.2% grade from 1915 to 1930; Placer-Amex owned site from 1962-1994.
</t>
    </r>
    <r>
      <rPr>
        <b/>
        <sz val="11"/>
        <color theme="1"/>
        <rFont val="Calibri"/>
        <family val="2"/>
      </rPr>
      <t xml:space="preserve">Project Description: Status of Project: </t>
    </r>
    <r>
      <rPr>
        <sz val="11"/>
        <color theme="1"/>
        <rFont val="Calibri"/>
        <family val="2"/>
      </rPr>
      <t xml:space="preserve">Developer is now preparing to initiate an expansion drill program to include the higher-grade Superior and/or Engels deposits near the Moonlight deposit; initial version of PEA completed in 2018 under prior owner covered only Moonlight deposit. 
</t>
    </r>
    <r>
      <rPr>
        <b/>
        <sz val="11"/>
        <color theme="1"/>
        <rFont val="Calibri"/>
        <family val="2"/>
      </rPr>
      <t xml:space="preserve">Project Description: Regulatory Challenges: </t>
    </r>
    <r>
      <rPr>
        <sz val="11"/>
        <color theme="1"/>
        <rFont val="Calibri"/>
        <family val="2"/>
      </rPr>
      <t xml:space="preserve">Vesting Rights Issue -- Developer has requested vesting rights from the Plumas County Planning Department, which would allow developer to proceed with some permits and without an extensive California Environmental Quality Act analysis (request has led to community debates in associated public comment period).  Even if vesting is granted, a reclamation plan and adequate financial assurance for new mining must be approved by the County with input from the State.  The Plumas County Board of Supervisors adopted its first zoning ordinance on July 8, 1958, which has been identified as the date of vesting in the US Copper filing. Engels has been host to a range of different mining and forest activities over the years, before and after 1958.  In April 2024 the developer withdrew its request for vesting rights after County legal consultants concluded the case was not firmly established. The developer must strengthen the case or go through normal County permit procedures and California Environmental Quality Analysis.
</t>
    </r>
    <r>
      <rPr>
        <b/>
        <sz val="11"/>
        <color theme="1"/>
        <rFont val="Calibri"/>
        <family val="2"/>
      </rPr>
      <t>Location: Additional Location Information: </t>
    </r>
    <r>
      <rPr>
        <sz val="11"/>
        <color theme="1"/>
        <rFont val="Calibri"/>
        <family val="2"/>
      </rPr>
      <t xml:space="preserve">Located 11 miles northeast of Greenville (pop 1,026, 2022, 75% of buildings destroyed in 2021 fire) in northeastern California near the Nevada line (100 miles northwest of Reno, Nevada).  
</t>
    </r>
    <r>
      <rPr>
        <b/>
        <sz val="11"/>
        <color theme="1"/>
        <rFont val="Calibri"/>
        <family val="2"/>
      </rPr>
      <t xml:space="preserve">Developer Description: Lead Developer: </t>
    </r>
    <r>
      <rPr>
        <sz val="11"/>
        <color theme="1"/>
        <rFont val="Calibri"/>
        <family val="2"/>
      </rPr>
      <t xml:space="preserve">US Copper Corporation (Canada), since 2013 (previously several junior Canadian firms).
</t>
    </r>
    <r>
      <rPr>
        <b/>
        <sz val="11"/>
        <color theme="1"/>
        <rFont val="Calibri"/>
        <family val="2"/>
      </rPr>
      <t xml:space="preserve">Development Plans: Planned Production Capacity: </t>
    </r>
    <r>
      <rPr>
        <sz val="11"/>
        <color theme="1"/>
        <rFont val="Calibri"/>
        <family val="2"/>
      </rPr>
      <t xml:space="preserve">150,000 tons of copper concentrate per year (Moonlight only).  
</t>
    </r>
    <r>
      <rPr>
        <b/>
        <sz val="11"/>
        <color theme="1"/>
        <rFont val="Calibri"/>
        <family val="2"/>
      </rPr>
      <t>Development Plans: Planned Lifespan of Mine: </t>
    </r>
    <r>
      <rPr>
        <sz val="11"/>
        <color theme="1"/>
        <rFont val="Calibri"/>
        <family val="2"/>
      </rPr>
      <t xml:space="preserve">17 years (Moonlight only).
Developer Description: Was There Change in Ownership during Project?: Yes -- Placer-Amex was previous owner 
</t>
    </r>
    <r>
      <rPr>
        <b/>
        <sz val="11"/>
        <color theme="1"/>
        <rFont val="Calibri"/>
        <family val="2"/>
      </rPr>
      <t>Development Plans: Processing Done by the Same Lead Developer/Parent Company:</t>
    </r>
    <r>
      <rPr>
        <sz val="11"/>
        <color theme="1"/>
        <rFont val="Calibri"/>
        <family val="2"/>
      </rPr>
      <t xml:space="preserve"> on-site facility.
</t>
    </r>
    <r>
      <rPr>
        <b/>
        <sz val="11"/>
        <color theme="1"/>
        <rFont val="Calibri"/>
        <family val="2"/>
      </rPr>
      <t xml:space="preserve">Land Ownership: Type of Land: </t>
    </r>
    <r>
      <rPr>
        <sz val="11"/>
        <color theme="1"/>
        <rFont val="Calibri"/>
        <family val="2"/>
      </rPr>
      <t xml:space="preserve">Private (owned by California-Engles Mining Company which has leased the land for mining for several decades).  Developer acquired 132 unpatented claims and a lease for the 36 patents covering the Superior and Engels mines.  Developer controls 13 square miles of land.  Might eventually require use of adjacent Forest Service land.  </t>
    </r>
  </si>
  <si>
    <r>
      <rPr>
        <b/>
        <sz val="11"/>
        <color theme="1"/>
        <rFont val="Calibri"/>
        <family val="2"/>
      </rPr>
      <t>Project Description: Status of Project: </t>
    </r>
    <r>
      <rPr>
        <sz val="11"/>
        <color theme="1"/>
        <rFont val="Calibri"/>
        <family val="2"/>
      </rPr>
      <t xml:space="preserve">The developer tried twice to persuade the Maine Land Use Planning Commission to modify zoning law to allow the project.  After the second try, the Commission voted, in 2023, 5 to 2 against a zoning change.
</t>
    </r>
    <r>
      <rPr>
        <b/>
        <sz val="11"/>
        <color theme="1"/>
        <rFont val="Calibri"/>
        <family val="2"/>
      </rPr>
      <t xml:space="preserve">Project Description: Regulatory Challenges: </t>
    </r>
    <r>
      <rPr>
        <sz val="11"/>
        <color theme="1"/>
        <rFont val="Calibri"/>
        <family val="2"/>
      </rPr>
      <t xml:space="preserve">Maine recently passed legislation that made securing the necessary permits for mining operations more intensive. The developer also faced zoning challenges that ultimately led to the proposed mine being delayed indefinitely; In 2023 the planning commission voted 5-2 against the rezoning petition from the developer. 
</t>
    </r>
    <r>
      <rPr>
        <b/>
        <sz val="11"/>
        <color theme="1"/>
        <rFont val="Calibri"/>
        <family val="2"/>
      </rPr>
      <t>Location: Additional Location Information: </t>
    </r>
    <r>
      <rPr>
        <sz val="11"/>
        <color theme="1"/>
        <rFont val="Calibri"/>
        <family val="2"/>
      </rPr>
      <t xml:space="preserve">Located 10 miles north of Patten (pop 771, 2020), east of Baxter State Park, northern Maine.
</t>
    </r>
    <r>
      <rPr>
        <b/>
        <sz val="11"/>
        <color theme="1"/>
        <rFont val="Calibri"/>
        <family val="2"/>
      </rPr>
      <t xml:space="preserve">Developer Description: Was There Change in Ownership during Project?: </t>
    </r>
    <r>
      <rPr>
        <sz val="11"/>
        <color theme="1"/>
        <rFont val="Calibri"/>
        <family val="2"/>
      </rPr>
      <t xml:space="preserve">Land previously owned by Getty Oil &amp; Chevron who let the mineral leases for the property expire in 1998; acquired by current owner in 2017
</t>
    </r>
    <r>
      <rPr>
        <b/>
        <sz val="11"/>
        <color theme="1"/>
        <rFont val="Calibri"/>
        <family val="2"/>
      </rPr>
      <t xml:space="preserve">Land Ownership: Type of Land: </t>
    </r>
    <r>
      <rPr>
        <sz val="11"/>
        <color theme="1"/>
        <rFont val="Calibri"/>
        <family val="2"/>
      </rPr>
      <t>Leased land.  6781 acres was acquired by Wolfden Resources in 2017 for $8.5 million.</t>
    </r>
  </si>
  <si>
    <r>
      <rPr>
        <b/>
        <sz val="11"/>
        <color theme="1"/>
        <rFont val="Calibri"/>
        <family val="2"/>
      </rPr>
      <t>Project Description: Status of Project: </t>
    </r>
    <r>
      <rPr>
        <sz val="11"/>
        <color theme="1"/>
        <rFont val="Calibri"/>
        <family val="2"/>
      </rPr>
      <t xml:space="preserve">Developer activity at the site has been delayed by multiple lawsuits but in 2024 the USFS said it plans to re-publish an environmental report before July that will set in motion a land swap between the U.S. government and Rio Tinto, allowing the miner to develop its Resolution Copper project in Arizona. The developer’s new schedule for the delayed mine calls for production to begin by the end of the decade.; In 2025, this project was added by the Trump administration to the FAST-41 dashboard to accelerate its permitting. 
</t>
    </r>
    <r>
      <rPr>
        <b/>
        <sz val="11"/>
        <color theme="1"/>
        <rFont val="Calibri"/>
        <family val="2"/>
      </rPr>
      <t xml:space="preserve">Project Description: Regulatory Challenges: </t>
    </r>
    <r>
      <rPr>
        <sz val="11"/>
        <color theme="1"/>
        <rFont val="Calibri"/>
        <family val="2"/>
      </rPr>
      <t xml:space="preserve">Delays have occurred due to litigation over whether the mine would infringe on the religious rights of the Western Apaches, who believe the site is home to the ga'an or Mountain Spirits and has for centuries been the site of ceremonies for the Western Apaches.  The Forest Service, under the Biden administration, delayed approval of the project during the appeals process, citing the need for more consultation with the Western Apaches.  The 9th Circuit Court rejected the suit by the Apache tribe and approved the land swap, which could allow the developer to begin production by 2030.
</t>
    </r>
    <r>
      <rPr>
        <b/>
        <sz val="11"/>
        <color theme="1"/>
        <rFont val="Calibri"/>
        <family val="2"/>
      </rPr>
      <t xml:space="preserve">Location: Additional Location Information: </t>
    </r>
    <r>
      <rPr>
        <sz val="11"/>
        <color theme="1"/>
        <rFont val="Calibri"/>
        <family val="2"/>
      </rPr>
      <t xml:space="preserve">Located 60 miles east of Phoenix, Arizona, near the town of Superior (pop 2,407, 2020) in northern Pinal County.  Superior was founded as a mining town for the Silver King and the later Magma mines; silver was mined at first, and then copper.
</t>
    </r>
    <r>
      <rPr>
        <b/>
        <sz val="11"/>
        <color theme="1"/>
        <rFont val="Calibri"/>
        <family val="2"/>
      </rPr>
      <t xml:space="preserve">Development Plans: Planned Production Capacity: </t>
    </r>
    <r>
      <rPr>
        <sz val="11"/>
        <color theme="1"/>
        <rFont val="Calibri"/>
        <family val="2"/>
      </rPr>
      <t xml:space="preserve">25% of America's copper needs- largest copper mine in US.
</t>
    </r>
    <r>
      <rPr>
        <b/>
        <sz val="11"/>
        <color theme="1"/>
        <rFont val="Calibri"/>
        <family val="2"/>
      </rPr>
      <t>Development Plans: Processing Plan in US: </t>
    </r>
    <r>
      <rPr>
        <sz val="11"/>
        <color theme="1"/>
        <rFont val="Calibri"/>
        <family val="2"/>
      </rPr>
      <t xml:space="preserve">The developer has plans to smelt the copper in Utah
</t>
    </r>
    <r>
      <rPr>
        <b/>
        <sz val="11"/>
        <color theme="1"/>
        <rFont val="Calibri"/>
        <family val="2"/>
      </rPr>
      <t>Litigation: Evidence of Litigation:</t>
    </r>
    <r>
      <rPr>
        <sz val="11"/>
        <color theme="1"/>
        <rFont val="Calibri"/>
        <family val="2"/>
      </rPr>
      <t xml:space="preserve"> In 2014 the U.S Congress approved a land swap, which gave the developer the rights to access a region of land in central Arizona (near Superior, Arizona) called Oak Flat, which was previously withdrawn from development.  Apache Stronghold, a Western Apache group, sued the US Fish and Wildlife Service on the grounds that the land swap violates the First Amendment of the US Constitution as well as tribal land management statute and a US treaty with tribes regarding consultation and governance. In March 2024, Ninth Circuit U.S. Court of Appeals ruled, in a divided 6-5 decision, that a land swap between the federal government and Resolution Copper could move forward despite a request by the Tribe to halt the exchange. In May of 2025, the US Supreme Court, in a 6-2 decision (with Justice Alito not participating), declined to block the transfer of Oak Flat for mining, leaving the lower court’s ruling in place.; In 2023 the Arizona Supreme Court vacated a lower court ruling that the state should not have granted a water permit, because the expansion of the existing mine was a new pollutant source that could damage the Queen Creek (desert) river. The US Supreme Court declined to hear the issue on appeal regarding the granting of a water permit. 
</t>
    </r>
    <r>
      <rPr>
        <b/>
        <sz val="11"/>
        <color theme="1"/>
        <rFont val="Calibri"/>
        <family val="2"/>
      </rPr>
      <t xml:space="preserve">Litigation: Level of Court: </t>
    </r>
    <r>
      <rPr>
        <sz val="11"/>
        <color theme="1"/>
        <rFont val="Calibri"/>
        <family val="2"/>
      </rPr>
      <t>The federal district court upheld the land swap, a split panel (2-1) of the 9th Circuit upheld the land swap, and the entire 9th Circuit upheld the land swap 6-5.  The Supreme Court has not yet decided whether to hear an appeal.</t>
    </r>
  </si>
  <si>
    <r>
      <rPr>
        <b/>
        <sz val="11"/>
        <color theme="1"/>
        <rFont val="Calibri"/>
        <family val="2"/>
      </rPr>
      <t xml:space="preserve">Project Description: Status of Project:  </t>
    </r>
    <r>
      <rPr>
        <sz val="11"/>
        <color theme="1"/>
        <rFont val="Calibri"/>
        <family val="2"/>
      </rPr>
      <t xml:space="preserve">The current develper withdrew the Plan of Operations for Rock Creek from consideration by the United States Forest Service (USFS).  This plan was prepared by the project’s prior owner and does not have the data necessary to inform the current developer's plan.  Recently, the current developer decided to give priority to the nearby Montanore project, which made Rock Creek a secondary priority.                                                                                                                                                                                                                                                                                                         </t>
    </r>
    <r>
      <rPr>
        <b/>
        <sz val="11"/>
        <color theme="1"/>
        <rFont val="Calibri"/>
        <family val="2"/>
      </rPr>
      <t xml:space="preserve">Project Description: Regulatory Challenges: </t>
    </r>
    <r>
      <rPr>
        <sz val="11"/>
        <color theme="1"/>
        <rFont val="Calibri"/>
        <family val="2"/>
      </rPr>
      <t xml:space="preserve">Coalition of tribal and environment groups led by Earthjustice persuaded a state district court judge that the state did not adequately consider the environmental impacts of the project, invalidating the water permit. The Montana Supreme Court ruled 5-2 that the state had adequately considered the environmental impacts. 
</t>
    </r>
    <r>
      <rPr>
        <b/>
        <sz val="11"/>
        <color theme="1"/>
        <rFont val="Calibri"/>
        <family val="2"/>
      </rPr>
      <t>Location: Additional Location Information: </t>
    </r>
    <r>
      <rPr>
        <sz val="11"/>
        <color theme="1"/>
        <rFont val="Calibri"/>
        <family val="2"/>
      </rPr>
      <t xml:space="preserve">Five miles northeast of Noxon (pop 464, 2020), western Montana. Site is located on the Clark Fork River, which flows into Lake Pend Oreille.
</t>
    </r>
    <r>
      <rPr>
        <b/>
        <sz val="11"/>
        <color theme="1"/>
        <rFont val="Calibri"/>
        <family val="2"/>
      </rPr>
      <t xml:space="preserve">Developer Description: Was There Change in Ownership during Project?: </t>
    </r>
    <r>
      <rPr>
        <sz val="11"/>
        <color theme="1"/>
        <rFont val="Calibri"/>
        <family val="2"/>
      </rPr>
      <t xml:space="preserve">June 2015 Hecla acquired the Rock Creek Project through purchase of previous developer Revett Mining Company.
</t>
    </r>
    <r>
      <rPr>
        <b/>
        <sz val="11"/>
        <color theme="1"/>
        <rFont val="Calibri"/>
        <family val="2"/>
      </rPr>
      <t xml:space="preserve">Litigation: Evidence of Litigation: </t>
    </r>
    <r>
      <rPr>
        <sz val="11"/>
        <color theme="1"/>
        <rFont val="Calibri"/>
        <family val="2"/>
      </rPr>
      <t>In 2019 a state district court invalidated the developer’s permit to operate based on the allegation of environmental groups that the state had not adequately considered the environmental impacts of the mine.  In 2021 the Montana Supreme Court overruled the district court 5-2, thereby affirming the developer’s permit. </t>
    </r>
  </si>
  <si>
    <r>
      <rPr>
        <b/>
        <sz val="11"/>
        <color theme="1"/>
        <rFont val="Calibri"/>
        <family val="2"/>
      </rPr>
      <t xml:space="preserve">Project Description: Existing Mine: </t>
    </r>
    <r>
      <rPr>
        <sz val="11"/>
        <color theme="1"/>
        <rFont val="Calibri"/>
        <family val="2"/>
      </rPr>
      <t xml:space="preserve">Started as underground mine in 1920s, then open pit method in 1945.
</t>
    </r>
    <r>
      <rPr>
        <b/>
        <sz val="11"/>
        <color theme="1"/>
        <rFont val="Calibri"/>
        <family val="2"/>
      </rPr>
      <t>Project Description: Status of Project: </t>
    </r>
    <r>
      <rPr>
        <sz val="11"/>
        <color theme="1"/>
        <rFont val="Calibri"/>
        <family val="2"/>
      </rPr>
      <t xml:space="preserve">Serrita is the third largest copper-producing mine in the US and has sufficient reserves to be operated past 2090. Project has 873.6 million tonnes of ore grading 0.36% copper. 
</t>
    </r>
    <r>
      <rPr>
        <b/>
        <sz val="11"/>
        <color theme="1"/>
        <rFont val="Calibri"/>
        <family val="2"/>
      </rPr>
      <t xml:space="preserve">Location: Additional Location Information: </t>
    </r>
    <r>
      <rPr>
        <sz val="11"/>
        <color theme="1"/>
        <rFont val="Calibri"/>
        <family val="2"/>
      </rPr>
      <t xml:space="preserve">Located southwest of Tucson and west of the near towns of Green Valley (pop 22,616, 2020) and Sahuarita (pop 34,134, 2020), close to the Mexican border. 
</t>
    </r>
    <r>
      <rPr>
        <b/>
        <sz val="11"/>
        <color theme="1"/>
        <rFont val="Calibri"/>
        <family val="2"/>
      </rPr>
      <t xml:space="preserve">Was There a Change in Ownership during Project?: </t>
    </r>
    <r>
      <rPr>
        <sz val="11"/>
        <color theme="1"/>
        <rFont val="Calibri"/>
        <family val="2"/>
      </rPr>
      <t xml:space="preserve">Claimed in 1882 and changed hands several times before FCX acquired it. Current developer acquired it in 2007.
</t>
    </r>
    <r>
      <rPr>
        <b/>
        <sz val="11"/>
        <color theme="1"/>
        <rFont val="Calibri"/>
        <family val="2"/>
      </rPr>
      <t xml:space="preserve">Processing Plan: Processing Done by the Same Lead Developer/Parent Company: </t>
    </r>
    <r>
      <rPr>
        <sz val="11"/>
        <color theme="1"/>
        <rFont val="Calibri"/>
        <family val="2"/>
      </rPr>
      <t xml:space="preserve">Some processing occurs on site.  Looking forward, SX/EW plant will produce approximately 9 million pounds per year of copper cathode from solution generated by low-grade stockpile leaching.
A pressure-leach plant will process molybdenum concentrate. </t>
    </r>
    <r>
      <rPr>
        <b/>
        <sz val="11"/>
        <color theme="1"/>
        <rFont val="Calibri"/>
        <family val="2"/>
      </rPr>
      <t xml:space="preserve"> </t>
    </r>
  </si>
  <si>
    <r>
      <rPr>
        <b/>
        <sz val="11"/>
        <color theme="1"/>
        <rFont val="Calibri"/>
        <family val="2"/>
      </rPr>
      <t>Project Description: Status of Project: </t>
    </r>
    <r>
      <rPr>
        <sz val="11"/>
        <color theme="1"/>
        <rFont val="Calibri"/>
        <family val="2"/>
      </rPr>
      <t xml:space="preserve">The developer was doubling production at Silver Peak when the global lithium slump caused financial problems (2023-2024) for the developer.  It is not yet clear whether the expansion will be delayed or pared back.; In 2025, this expansion project was added by the Trump administration to the FAST-41 dashboard to accelerate its permitting.   
</t>
    </r>
    <r>
      <rPr>
        <b/>
        <sz val="11"/>
        <color theme="1"/>
        <rFont val="Calibri"/>
        <family val="2"/>
      </rPr>
      <t xml:space="preserve">Project Description: Regulatory Challenges: </t>
    </r>
    <r>
      <rPr>
        <sz val="11"/>
        <color theme="1"/>
        <rFont val="Calibri"/>
        <family val="2"/>
      </rPr>
      <t xml:space="preserve">While Albemarle was initially granted all the water rights in the county, with more lithium companies beginning operations in the area, they have had to defend their water rights in judicial and regulatory proceedings.
</t>
    </r>
    <r>
      <rPr>
        <b/>
        <sz val="11"/>
        <color theme="1"/>
        <rFont val="Calibri"/>
        <family val="2"/>
      </rPr>
      <t xml:space="preserve">Location: Additional Location Information: </t>
    </r>
    <r>
      <rPr>
        <sz val="11"/>
        <color theme="1"/>
        <rFont val="Calibri"/>
        <family val="2"/>
      </rPr>
      <t xml:space="preserve">Located 40 miles southwest of Tonopah (pop 2,179, 2020), near town of Silver Peak (pop 213, 2022), Clayton Valley, western edge of Nevada near the California line. 
</t>
    </r>
    <r>
      <rPr>
        <b/>
        <sz val="11"/>
        <color theme="1"/>
        <rFont val="Calibri"/>
        <family val="2"/>
      </rPr>
      <t>Development Plans: Processing Dome by the Same Lead Developer/Parent Company: </t>
    </r>
    <r>
      <rPr>
        <sz val="11"/>
        <color theme="1"/>
        <rFont val="Calibri"/>
        <family val="2"/>
      </rPr>
      <t xml:space="preserve">Onsite chemical processing makes it into lithium carbonate; a small lithium hydroxide conversion plant operates on site. Some of the carbonate from Silver Peak is sent to Albemarle’s processing facility in Kings Mountain, North Carolina. There it can be further refined into lithium hydroxide, which is used for electric vehicle batteries.  First stage processing: brine is taken to an on-site plant, where lime and soda ash is added to further the transformation; it is then filtered, pressed and dried into lithium carbonate. 
</t>
    </r>
    <r>
      <rPr>
        <b/>
        <sz val="11"/>
        <color theme="1"/>
        <rFont val="Calibri"/>
        <family val="2"/>
      </rPr>
      <t xml:space="preserve">Development Plans: Total Capital Costs: </t>
    </r>
    <r>
      <rPr>
        <sz val="11"/>
        <color theme="1"/>
        <rFont val="Calibri"/>
        <family val="2"/>
      </rPr>
      <t xml:space="preserve">$30-50 million for expansion project 
</t>
    </r>
    <r>
      <rPr>
        <b/>
        <sz val="11"/>
        <color theme="1"/>
        <rFont val="Calibri"/>
        <family val="2"/>
      </rPr>
      <t>Financial Support: Federal Agency:</t>
    </r>
    <r>
      <rPr>
        <sz val="11"/>
        <color theme="1"/>
        <rFont val="Calibri"/>
        <family val="2"/>
      </rPr>
      <t xml:space="preserve"> $9.3 million of a $30 million DOE grant (2024) to Albemarle will be used to support expansion of lithium carbonate production at Silver Peak. 
</t>
    </r>
    <r>
      <rPr>
        <b/>
        <sz val="11"/>
        <color theme="1"/>
        <rFont val="Calibri"/>
        <family val="2"/>
      </rPr>
      <t xml:space="preserve">Land Ownership: Type of Land: </t>
    </r>
    <r>
      <rPr>
        <sz val="11"/>
        <color theme="1"/>
        <rFont val="Calibri"/>
        <family val="2"/>
      </rPr>
      <t xml:space="preserve">Public and Private: 6,068 acres is private land owned by – or leased to – Albemarle; another 1,318 acres is on public land administered by the BLM.  
</t>
    </r>
    <r>
      <rPr>
        <b/>
        <sz val="11"/>
        <color theme="1"/>
        <rFont val="Calibri"/>
        <family val="2"/>
      </rPr>
      <t xml:space="preserve">Litigation: Evidence of Litigation: </t>
    </r>
    <r>
      <rPr>
        <sz val="11"/>
        <color theme="1"/>
        <rFont val="Calibri"/>
        <family val="2"/>
      </rPr>
      <t xml:space="preserve">There is a long history of litigation over water rights in water-stressed Clayton Valley, Nevada as Albemarle claims almost exclusive access (as it operates the Silver Peak lithium mine and has expansion plans).  Other developers have sued Albemarle seeking access, claiming that Albemarle is not using all of its allotted water rights and they don't last forever.  One developer, Nevada Sunrise, was in litigation with Albemarle from 2017-2019 and finally reached a settlement in July 2019.                                                                                                                                                                                                                                                                                                                                                                                                                                                                   </t>
    </r>
  </si>
  <si>
    <r>
      <rPr>
        <b/>
        <sz val="11"/>
        <color theme="1"/>
        <rFont val="Calibri"/>
        <family val="2"/>
      </rPr>
      <t>Project Description: Status of Project: </t>
    </r>
    <r>
      <rPr>
        <sz val="11"/>
        <color theme="1"/>
        <rFont val="Calibri"/>
        <family val="2"/>
      </rPr>
      <t xml:space="preserve">Development. The developer’s goal is to begin mine production in 2029.
</t>
    </r>
    <r>
      <rPr>
        <b/>
        <sz val="11"/>
        <color theme="1"/>
        <rFont val="Calibri"/>
        <family val="2"/>
      </rPr>
      <t xml:space="preserve">Project Description: Regulatory Challenges: </t>
    </r>
    <r>
      <rPr>
        <sz val="11"/>
        <color theme="1"/>
        <rFont val="Calibri"/>
        <family val="2"/>
      </rPr>
      <t xml:space="preserve">In January 2016 the developer, after almost a decade of work, suspended the NEPA process for the overall project at USFS in the face of concerted opposition from tribal and environmental groups. The developer will need to restart and complete this process to obtain a federal permit for mining. In November 2023 DOE completed the NEPA process to support its financial assistance of the separation and processing demonstration plant.
</t>
    </r>
    <r>
      <rPr>
        <b/>
        <sz val="11"/>
        <color theme="1"/>
        <rFont val="Calibri"/>
        <family val="2"/>
      </rPr>
      <t>Location: Additional Location Information: </t>
    </r>
    <r>
      <rPr>
        <sz val="11"/>
        <color theme="1"/>
        <rFont val="Calibri"/>
        <family val="2"/>
      </rPr>
      <t xml:space="preserve"> 2 miles northwest of Sundance, northeast Wyoming, off I-90 in the Northern Black Hills, an isolated mountain range extending from western South Dakota into Wyoming.
</t>
    </r>
    <r>
      <rPr>
        <b/>
        <sz val="11"/>
        <color theme="1"/>
        <rFont val="Calibri"/>
        <family val="2"/>
      </rPr>
      <t xml:space="preserve">Development Plans: Processing Plan in US: </t>
    </r>
    <r>
      <rPr>
        <sz val="11"/>
        <color theme="1"/>
        <rFont val="Calibri"/>
        <family val="2"/>
      </rPr>
      <t xml:space="preserve">The developer has a well-developed processing plan at a facility in the nearby town of Upton, Wyoming. A pilot demonstration plant for the new separation and treatment technology will begin in 2025. The plant is partially subsidized by the US Department of Energy.
</t>
    </r>
    <r>
      <rPr>
        <b/>
        <sz val="11"/>
        <color theme="1"/>
        <rFont val="Calibri"/>
        <family val="2"/>
      </rPr>
      <t xml:space="preserve">Financial Support: Federal Agency: </t>
    </r>
    <r>
      <rPr>
        <sz val="11"/>
        <color theme="1"/>
        <rFont val="Calibri"/>
        <family val="2"/>
      </rPr>
      <t xml:space="preserve">In 2024, the grant amount increased from 20 million to 24.2 million, specifically for the processing plant.
</t>
    </r>
    <r>
      <rPr>
        <b/>
        <sz val="11"/>
        <color theme="1"/>
        <rFont val="Calibri"/>
        <family val="2"/>
      </rPr>
      <t xml:space="preserve">Land Ownership: Type of Land: </t>
    </r>
    <r>
      <rPr>
        <sz val="11"/>
        <color theme="1"/>
        <rFont val="Calibri"/>
        <family val="2"/>
      </rPr>
      <t>The project site is located on a mix of federal (USFS), state and private land; a total of approximately 8,000 acres.</t>
    </r>
  </si>
  <si>
    <r>
      <rPr>
        <b/>
        <sz val="11"/>
        <color theme="1"/>
        <rFont val="Calibri"/>
        <family val="2"/>
      </rPr>
      <t>Project Description: Regulatory Challenges:</t>
    </r>
    <r>
      <rPr>
        <sz val="11"/>
        <color theme="1"/>
        <rFont val="Calibri"/>
        <family val="2"/>
      </rPr>
      <t xml:space="preserve"> The developer originally thought it could initiate rare earth mining under its 2020 coal mining permit.  However, it may be necessary to obtain a separate permit for rare-earth mining insofar as the method is different and the environmental impacts could be somewhat different.
</t>
    </r>
    <r>
      <rPr>
        <b/>
        <sz val="11"/>
        <color theme="1"/>
        <rFont val="Calibri"/>
        <family val="2"/>
      </rPr>
      <t xml:space="preserve">Location: Additional Location Information: </t>
    </r>
    <r>
      <rPr>
        <sz val="11"/>
        <color theme="1"/>
        <rFont val="Calibri"/>
        <family val="2"/>
      </rPr>
      <t xml:space="preserve">Outside Sheridan (pop 18,737), in north central Wyoming
</t>
    </r>
    <r>
      <rPr>
        <b/>
        <sz val="11"/>
        <color theme="1"/>
        <rFont val="Calibri"/>
        <family val="2"/>
      </rPr>
      <t>Developer Description: Lead Developer:</t>
    </r>
    <r>
      <rPr>
        <sz val="11"/>
        <color theme="1"/>
        <rFont val="Calibri"/>
        <family val="2"/>
      </rPr>
      <t xml:space="preserve"> Ramaco Resources (US, coal producer).  Ramaco has properties in West Virginia and Virginia, was founded in 2011, went public in 2017 and has since grown to a run rate of 5 million tons annually (with plans to expand to 7+ Mtpy as the market allows), over 1,000 employees and reserves of roughly 60 million tons.
</t>
    </r>
    <r>
      <rPr>
        <b/>
        <sz val="11"/>
        <color theme="1"/>
        <rFont val="Calibri"/>
        <family val="2"/>
      </rPr>
      <t>Developer Description: Was There Change in Ownernship during Project?:</t>
    </r>
    <r>
      <rPr>
        <sz val="11"/>
        <color theme="1"/>
        <rFont val="Calibri"/>
        <family val="2"/>
      </rPr>
      <t xml:space="preserve"> Ramaco purchased the Brook mine in 2011. It had been continuously owned by Pittston Coal since 1912.
</t>
    </r>
    <r>
      <rPr>
        <b/>
        <sz val="11"/>
        <color theme="1"/>
        <rFont val="Calibri"/>
        <family val="2"/>
      </rPr>
      <t xml:space="preserve">Land Ownership: Type of Land: </t>
    </r>
    <r>
      <rPr>
        <sz val="11"/>
        <color theme="1"/>
        <rFont val="Calibri"/>
        <family val="2"/>
      </rPr>
      <t>Private -- The Brook Mine comprises over 15,800 acres outside of Sheridan, Wyoming, one of the largest privately controlled mineral reserves in the Western United States. Roughly 4,500 acres were permitted for mining in 2020, which is where the initial assessment program has been conducted. Opportunity for expansion of project.</t>
    </r>
  </si>
  <si>
    <r>
      <rPr>
        <b/>
        <sz val="11"/>
        <color theme="1"/>
        <rFont val="Calibri"/>
        <family val="2"/>
      </rPr>
      <t xml:space="preserve">Project Description: Mining Method: </t>
    </r>
    <r>
      <rPr>
        <sz val="11"/>
        <color theme="1"/>
        <rFont val="Calibri"/>
        <family val="2"/>
      </rPr>
      <t xml:space="preserve">Open pit, using froth flotation to extract the materials; 80 acres, 800 feet deep.
</t>
    </r>
    <r>
      <rPr>
        <b/>
        <sz val="11"/>
        <color theme="1"/>
        <rFont val="Calibri"/>
        <family val="2"/>
      </rPr>
      <t xml:space="preserve">Project Description: Existing Mine: </t>
    </r>
    <r>
      <rPr>
        <sz val="11"/>
        <color theme="1"/>
        <rFont val="Calibri"/>
        <family val="2"/>
      </rPr>
      <t xml:space="preserve">Copper King Mine started in 1881, was an underground operation, and Herc ceased operation just prior to World War II.  Much exploratory drilling by several developers since then.  In 2016 US Gold Corporation acquired 100% of the mineral leases.  
</t>
    </r>
    <r>
      <rPr>
        <b/>
        <sz val="11"/>
        <color theme="1"/>
        <rFont val="Calibri"/>
        <family val="2"/>
      </rPr>
      <t>Project Description: Status of Project: </t>
    </r>
    <r>
      <rPr>
        <sz val="11"/>
        <color theme="1"/>
        <rFont val="Calibri"/>
        <family val="2"/>
      </rPr>
      <t xml:space="preserve">The State granted US Gold an operating permit in April/May 2024; a reclamation bond was put up for any initial disturbance in May 2024; water discharge permit was granted in June 2024; and the last required permit, the air permit, was granted in November 2024. Now the developer will prepare a  feasibility study and raise capital for construction; Prefeasibility study released December 2021, to be updated summer of 2024. Industrial siting permit approved June 20, 2023. General permit application submitted to Wyoming Department of Environmental Quality in 2022; permit awarded April 29, 2024. Water permit awarded June 2024.  Working on air permit. 
</t>
    </r>
    <r>
      <rPr>
        <b/>
        <sz val="11"/>
        <color theme="1"/>
        <rFont val="Calibri"/>
        <family val="2"/>
      </rPr>
      <t>Location: Additional Location Information: </t>
    </r>
    <r>
      <rPr>
        <sz val="11"/>
        <color theme="1"/>
        <rFont val="Calibri"/>
        <family val="2"/>
      </rPr>
      <t xml:space="preserve">Located 20 miles west of Cheyenne (65,132, 2020), near Curt Gowdy State Park, southeastern Wyoming. 
</t>
    </r>
    <r>
      <rPr>
        <b/>
        <sz val="11"/>
        <color theme="1"/>
        <rFont val="Calibri"/>
        <family val="2"/>
      </rPr>
      <t xml:space="preserve">Developer Description: Lead Developer: </t>
    </r>
    <r>
      <rPr>
        <sz val="11"/>
        <color theme="1"/>
        <rFont val="Calibri"/>
        <family val="2"/>
      </rPr>
      <t xml:space="preserve">Subsidiary Gold King Corporation.
</t>
    </r>
    <r>
      <rPr>
        <b/>
        <sz val="11"/>
        <color theme="1"/>
        <rFont val="Calibri"/>
        <family val="2"/>
      </rPr>
      <t xml:space="preserve">Processing: </t>
    </r>
    <r>
      <rPr>
        <sz val="11"/>
        <color theme="1"/>
        <rFont val="Calibri"/>
        <family val="2"/>
      </rPr>
      <t xml:space="preserve">Some onsite processing but more advanced processing at existing offsite locations in US and/or abroad. 
</t>
    </r>
    <r>
      <rPr>
        <b/>
        <sz val="11"/>
        <color theme="1"/>
        <rFont val="Calibri"/>
        <family val="2"/>
      </rPr>
      <t xml:space="preserve">Land Ownership: Public Land Ownership: </t>
    </r>
    <r>
      <rPr>
        <sz val="11"/>
        <color theme="1"/>
        <rFont val="Calibri"/>
        <family val="2"/>
      </rPr>
      <t xml:space="preserve">A large portion of the mine will be on state-owned lands known as school trust lands, which means the royalties generated from it will go toward the state's school system. </t>
    </r>
  </si>
  <si>
    <r>
      <rPr>
        <b/>
        <sz val="11"/>
        <color theme="1"/>
        <rFont val="Calibri"/>
        <family val="2"/>
      </rPr>
      <t xml:space="preserve">Project Description: Mining Method: </t>
    </r>
    <r>
      <rPr>
        <sz val="11"/>
        <color theme="1"/>
        <rFont val="Calibri"/>
        <family val="2"/>
      </rPr>
      <t xml:space="preserve">Expansion plan involves in-situ mining. The developer plans to start using an extraction method that involves injecting acids into the ground to dissolve copper deposits before pumping the solution back up to the surface for recovery, causing less surface disturbance than open-pit mining. In situ leaching is performed by injecting an acidic solution into the ground to dissolve minerals deposits before pumping the resulting solution to the surface for mineral recovery. The method causes far less surface disturbance than heap leach open-pit mining, the technique the Lisbon Valley Mining Company has employed in the upper valley since 2008. It is a “very innovative” mining technique for copper, said Lisbon Valley Mining Company Environmental Manager Alysen Tarrant. 
</t>
    </r>
    <r>
      <rPr>
        <b/>
        <sz val="11"/>
        <color theme="1"/>
        <rFont val="Calibri"/>
        <family val="2"/>
      </rPr>
      <t xml:space="preserve">Project Description: Existing Mine: </t>
    </r>
    <r>
      <rPr>
        <sz val="11"/>
        <color theme="1"/>
        <rFont val="Calibri"/>
        <family val="2"/>
      </rPr>
      <t xml:space="preserve">Copper was mined on a small scale in Lisbon Valley until the 1960’s when modern exploration techniques were used to begin defining what is now the Centennial Pit which is being actively mined by the developer today. Lisbon Valley Mining Company LLC, originally a subsidiary of Constellation Copper Company, obtained the final mining permits in 2004, and mine construction began in early 2005. However, the area has long history of uranium mining, contamination with radioactive mill tailings, community concerns about cancer, and extensive cleanup efforts.  Monticello community sensitized to health risks of mining. The Rio Algom Uranium Mill was in use from 1972 until 1988, leaving the groundwater supply contaminated with arsenic, uranium and other elements. In 2020, the copper mine was shut down temporarily due to the developer’s financial problems (low copper prices) and the pandemic.  
</t>
    </r>
    <r>
      <rPr>
        <b/>
        <sz val="11"/>
        <color theme="1"/>
        <rFont val="Calibri"/>
        <family val="2"/>
      </rPr>
      <t xml:space="preserve">Project Description: Status of Project: </t>
    </r>
    <r>
      <rPr>
        <sz val="11"/>
        <color theme="1"/>
        <rFont val="Calibri"/>
        <family val="2"/>
      </rPr>
      <t xml:space="preserve">The Lisbon Valley Mining Company, which owns the mine, has been planning an expansion since 2023.  The BLM is conducting an environmental review for the expansion and will decide whether to approve the project. The agency expects to finish a draft review in August 2025 and make a final decision about the project in May 2026. The Company has proposed to expand by employing in situ leaching which is conducted using a well field in place of open pit mining and heap leach operations and thereby results in a lower surface disturbance. The Trump administration is streamlining the expansion. The newly created National Energy Dominance Council chose in 2025 to “streamline” plans to expand the Lisbon Valley Copper Mine in southeastern Utah by adding the project to the FAST-41 program. Expansion would include a new open pit, waste rock storage area, process ponds, and in-situ recovery wells in a proposed 5,430 additional acres. Estimated surface disturbance contained in the Plan of Operations Modification is 1,190 acres. Proposal before BLM; decision expected May 2026.
</t>
    </r>
    <r>
      <rPr>
        <b/>
        <sz val="11"/>
        <color theme="1"/>
        <rFont val="Calibri"/>
        <family val="2"/>
      </rPr>
      <t xml:space="preserve">Project Description: Regulatory Challenges: </t>
    </r>
    <r>
      <rPr>
        <sz val="11"/>
        <color theme="1"/>
        <rFont val="Calibri"/>
        <family val="2"/>
      </rPr>
      <t xml:space="preserve">The in-situ mining method requires the company to obtain an aquifer exemption permit through the Utah Division of Water Quality and the U.S. Environmental Protection Agency (EPA). Part of the criteria the EPA typically uses to grant an aquifer exemption is that the aquifer not serve as a source of drinking water, and documents filed with the DEQ state that the nearest public water drinking well is 14 miles from the project site. (The Wilson Ranch is closer and does access the aquifer for drinking water, leading to concerns).  The expansion project also requires BLM approval.
</t>
    </r>
    <r>
      <rPr>
        <b/>
        <sz val="11"/>
        <color theme="1"/>
        <rFont val="Calibri"/>
        <family val="2"/>
      </rPr>
      <t xml:space="preserve">Location: Additional Location Information: </t>
    </r>
    <r>
      <rPr>
        <sz val="11"/>
        <color theme="1"/>
        <rFont val="Calibri"/>
        <family val="2"/>
      </rPr>
      <t xml:space="preserve">south of La Sal (339, 2020), north of Monticello (1,824, 2020), 40 miles southeast of Moab (5,366, 2020), San Juan County, southeastern Utah.  
</t>
    </r>
    <r>
      <rPr>
        <b/>
        <sz val="11"/>
        <color theme="1"/>
        <rFont val="Calibri"/>
        <family val="2"/>
      </rPr>
      <t xml:space="preserve">Developer Description: Was There Change in Ownership during Project?: </t>
    </r>
    <r>
      <rPr>
        <sz val="11"/>
        <color theme="1"/>
        <rFont val="Calibri"/>
        <family val="2"/>
      </rPr>
      <t xml:space="preserve">The Lisbon Valley project was permitted in 1999 and Constellation Copper Corp, a Canadian company formerly publicly traded on the Toronto Stock Exchange, took ownership and capitalized the project between 1999 and 2004. Construction began in 2005.  The mine produced its first copper cathode in 2006, but Constellation went belly up in 2008. Lisbon Valley Mining Company was formed during 2009 when it took control of the project.
</t>
    </r>
    <r>
      <rPr>
        <b/>
        <sz val="11"/>
        <color theme="1"/>
        <rFont val="Calibri"/>
        <family val="2"/>
      </rPr>
      <t xml:space="preserve">Financial Support: Federal Agency: </t>
    </r>
    <r>
      <rPr>
        <sz val="11"/>
        <color theme="1"/>
        <rFont val="Calibri"/>
        <family val="2"/>
      </rPr>
      <t xml:space="preserve">In 2024 Greater Commercial Lending (GCL) provided a $25m US Department of Agriculture (USDA)-guaranteed loan to Lisbon Valley Mining to bolster copper production and aid renewable energy systems. The loan has been facilitated through the USDA’s Business &amp; Industry Loan Programme. This financing will be channelled into working capital, procurement of heavy equipment, and refinancing of existing debt. 
</t>
    </r>
    <r>
      <rPr>
        <b/>
        <sz val="11"/>
        <color theme="1"/>
        <rFont val="Calibri"/>
        <family val="2"/>
      </rPr>
      <t xml:space="preserve">Land Ownership: Type of Land: </t>
    </r>
    <r>
      <rPr>
        <sz val="11"/>
        <color theme="1"/>
        <rFont val="Calibri"/>
        <family val="2"/>
      </rPr>
      <t>4,480 acres consumed by current mine. The mine spans private, state and Bureau of Land Management land.</t>
    </r>
  </si>
  <si>
    <r>
      <rPr>
        <b/>
        <sz val="11"/>
        <color theme="1"/>
        <rFont val="Calibri"/>
        <family val="2"/>
      </rPr>
      <t xml:space="preserve">Project Description: Existing Mine: </t>
    </r>
    <r>
      <rPr>
        <sz val="11"/>
        <color theme="1"/>
        <rFont val="Calibri"/>
        <family val="2"/>
      </rPr>
      <t xml:space="preserve">Site is a former iron mine, and adjacent to iron mines that are still operating.
</t>
    </r>
    <r>
      <rPr>
        <b/>
        <sz val="11"/>
        <color theme="1"/>
        <rFont val="Calibri"/>
        <family val="2"/>
      </rPr>
      <t>Project Description: Status of Project: </t>
    </r>
    <r>
      <rPr>
        <sz val="11"/>
        <color theme="1"/>
        <rFont val="Calibri"/>
        <family val="2"/>
      </rPr>
      <t xml:space="preserve">In August 2024 the developer announced four new studies to enhance the sustainability of the project.  The study topics include tailings storage, water science, efficient production, and carbon reduction. The developer continues to invest in studies for the Mesaba project’s environmental and social baseline studies and complete expanded hydrologic and hydrogeological studies.  Ongoing work also addresses orebody knowledge and project development engineering options.
</t>
    </r>
    <r>
      <rPr>
        <b/>
        <sz val="11"/>
        <color theme="1"/>
        <rFont val="Calibri"/>
        <family val="2"/>
      </rPr>
      <t>Location: Additional Location Information: </t>
    </r>
    <r>
      <rPr>
        <sz val="11"/>
        <color theme="1"/>
        <rFont val="Calibri"/>
        <family val="2"/>
      </rPr>
      <t xml:space="preserve">Located in the Duluth Complex (rock formation), near the towns of Babbitt (pop 1,383, 2020) and Hoyt Lakes (pop 2,020, 2020), northeastern Minnesota; about one mile from site for PolyMet project. 
</t>
    </r>
    <r>
      <rPr>
        <b/>
        <sz val="11"/>
        <color theme="1"/>
        <rFont val="Calibri"/>
        <family val="2"/>
      </rPr>
      <t xml:space="preserve">Developer Description: Lead Developer: </t>
    </r>
    <r>
      <rPr>
        <sz val="11"/>
        <color theme="1"/>
        <rFont val="Calibri"/>
        <family val="2"/>
      </rPr>
      <t xml:space="preserve">New Range Copper Nickel LLC is a 50/50 joint venture established by Teck Resources and Glencore to develop the NorthMet and Mesaba deposits – two large, distinct, and well-defined copper-nickel PGM resources in the Iron Range mining region of Minnesota. The NorthMet project is further along in the development process than the Mesaba project.
</t>
    </r>
    <r>
      <rPr>
        <b/>
        <sz val="11"/>
        <color theme="1"/>
        <rFont val="Calibri"/>
        <family val="2"/>
      </rPr>
      <t xml:space="preserve">Litigation: Evidence of Litigation: </t>
    </r>
    <r>
      <rPr>
        <sz val="11"/>
        <color theme="1"/>
        <rFont val="Calibri"/>
        <family val="2"/>
      </rPr>
      <t>Environmental groups have not been successful in combining Mesaba in the same lawsuits involving NorthMet.</t>
    </r>
  </si>
  <si>
    <r>
      <rPr>
        <b/>
        <sz val="11"/>
        <color theme="1"/>
        <rFont val="Calibri"/>
        <family val="2"/>
      </rPr>
      <t xml:space="preserve">Project Description: Existing Mine: </t>
    </r>
    <r>
      <rPr>
        <sz val="11"/>
        <color theme="1"/>
        <rFont val="Calibri"/>
        <family val="2"/>
      </rPr>
      <t xml:space="preserve">Mining rare earths is a new development.
</t>
    </r>
    <r>
      <rPr>
        <b/>
        <sz val="11"/>
        <color theme="1"/>
        <rFont val="Calibri"/>
        <family val="2"/>
      </rPr>
      <t>Project Description: Status of Project: </t>
    </r>
    <r>
      <rPr>
        <sz val="11"/>
        <color theme="1"/>
        <rFont val="Calibri"/>
        <family val="2"/>
      </rPr>
      <t xml:space="preserve">The Pea Ridge mine would be among the first in the US to produce relatively large amounts of dysprosium, a critical element in electric motors.  The developer will use membrane solvent extraction technology to separate rare earths in mined ore through a licensing arrangement with the federal government’s Oak Ridge National Laboratory, a unit of the Department of Energy.  
</t>
    </r>
    <r>
      <rPr>
        <b/>
        <sz val="11"/>
        <color theme="1"/>
        <rFont val="Calibri"/>
        <family val="2"/>
      </rPr>
      <t>Project Description: Regulatory Challenges:</t>
    </r>
    <r>
      <rPr>
        <sz val="11"/>
        <color theme="1"/>
        <rFont val="Calibri"/>
        <family val="2"/>
      </rPr>
      <t xml:space="preserve">The regulatory requirements for management of radioactive thorium at the site could affect the commercial viability of the site and have slowed development. 
</t>
    </r>
    <r>
      <rPr>
        <b/>
        <sz val="11"/>
        <color theme="1"/>
        <rFont val="Calibri"/>
        <family val="2"/>
      </rPr>
      <t>Location: Additional Location Information: </t>
    </r>
    <r>
      <rPr>
        <sz val="11"/>
        <color theme="1"/>
        <rFont val="Calibri"/>
        <family val="2"/>
      </rPr>
      <t xml:space="preserve">Located near Miramiguoa Park (pop 120, 2020) in southeast Missouri.
</t>
    </r>
    <r>
      <rPr>
        <b/>
        <sz val="11"/>
        <color theme="1"/>
        <rFont val="Calibri"/>
        <family val="2"/>
      </rPr>
      <t>Development Plans: Processing Done by the Same Lead Developer/Parent Company: </t>
    </r>
    <r>
      <rPr>
        <sz val="11"/>
        <color theme="1"/>
        <rFont val="Calibri"/>
        <family val="2"/>
      </rPr>
      <t xml:space="preserve">Caldera Holding has licensed ORNL's membrane solvent extraction technique to separate rare earth elements in mined ore. </t>
    </r>
  </si>
  <si>
    <r>
      <rPr>
        <b/>
        <sz val="11"/>
        <color theme="1"/>
        <rFont val="Calibri"/>
        <family val="2"/>
      </rPr>
      <t xml:space="preserve">Project Description: Mining Method: </t>
    </r>
    <r>
      <rPr>
        <sz val="11"/>
        <color theme="1"/>
        <rFont val="Calibri"/>
        <family val="2"/>
      </rPr>
      <t xml:space="preserve">Shift from underground to surface mining occurred after World War 2.
</t>
    </r>
    <r>
      <rPr>
        <b/>
        <sz val="11"/>
        <color theme="1"/>
        <rFont val="Calibri"/>
        <family val="2"/>
      </rPr>
      <t>Project Description: Status of Project: </t>
    </r>
    <r>
      <rPr>
        <sz val="11"/>
        <color theme="1"/>
        <rFont val="Calibri"/>
        <family val="2"/>
      </rPr>
      <t xml:space="preserve">A major expansion of the mine is unlikely. More copper resources may exist east and west of the currently active mining area, but that ground is effectively off-limits because it lies within Ironwood Forest National Monument.
</t>
    </r>
    <r>
      <rPr>
        <b/>
        <sz val="11"/>
        <color theme="1"/>
        <rFont val="Calibri"/>
        <family val="2"/>
      </rPr>
      <t xml:space="preserve">Project Description: Regulatory Challenges: </t>
    </r>
    <r>
      <rPr>
        <sz val="11"/>
        <color theme="1"/>
        <rFont val="Calibri"/>
        <family val="2"/>
      </rPr>
      <t xml:space="preserve">Silver Bell is an active mine with expansion potential east and west of the current footprint. However, that ground is off-limits because it lies within the Ironwood Forest National Monument. Congress has generally placed land around National Monuments off limits to mining.
</t>
    </r>
    <r>
      <rPr>
        <b/>
        <sz val="11"/>
        <color theme="1"/>
        <rFont val="Calibri"/>
        <family val="2"/>
      </rPr>
      <t>Location: Additional Location Information: </t>
    </r>
    <r>
      <rPr>
        <sz val="11"/>
        <color theme="1"/>
        <rFont val="Calibri"/>
        <family val="2"/>
      </rPr>
      <t xml:space="preserve">Located next to the Ironwood Forest National Monument near Mirana (pop 51,906, 2020), 36 miles northwest of Tucson, Arizona.  Silver Bell is an abandoned mining town that existed twice. The project site is 4 miles southeast of the original town site.
</t>
    </r>
    <r>
      <rPr>
        <b/>
        <sz val="11"/>
        <color theme="1"/>
        <rFont val="Calibri"/>
        <family val="2"/>
      </rPr>
      <t xml:space="preserve">Developer Description: Was There Change in Ownership during Project?: </t>
    </r>
    <r>
      <rPr>
        <sz val="11"/>
        <color theme="1"/>
        <rFont val="Calibri"/>
        <family val="2"/>
      </rPr>
      <t xml:space="preserve">ASARCO acquired the site in 1915.  Sold 25% interest to Mitsui in 1996.  Resumed 100% ownership in 2014. ASARCO owned by Grupo Mexico, largest mining company in Mexico. 
</t>
    </r>
    <r>
      <rPr>
        <b/>
        <sz val="11"/>
        <color theme="1"/>
        <rFont val="Calibri"/>
        <family val="2"/>
      </rPr>
      <t xml:space="preserve">Development Plans: Processing Done by the Same Lead Developer/Parent Company: </t>
    </r>
    <r>
      <rPr>
        <sz val="11"/>
        <color theme="1"/>
        <rFont val="Calibri"/>
        <family val="2"/>
      </rPr>
      <t xml:space="preserve">Copper-bearing solutions from the dump leach and rubble areas are collected and pumped to the solvent extraction plant where the copper in solution is concentrated over 30 times before being pumped to the tank house. In the tank house, the copper is recovered from solution using the electrowinning process and plated on stainless steel starter sheets as high-purity cathodes.  Cathode copper produced in the solvent extraction / electrowinning (SX/EW) operation is sold to producers of copper rod, tubing and wire.
                                                                                                                             </t>
    </r>
  </si>
  <si>
    <r>
      <rPr>
        <b/>
        <sz val="11"/>
        <color theme="1"/>
        <rFont val="Calibri"/>
        <family val="2"/>
      </rPr>
      <t xml:space="preserve">Project Description: Status of Project: </t>
    </r>
    <r>
      <rPr>
        <sz val="11"/>
        <color theme="1"/>
        <rFont val="Calibri"/>
        <family val="2"/>
      </rPr>
      <t xml:space="preserve">All necessary construction permits (state, local &amp; federal) have been secured; The developer’s 2024 communications suggest it is giving higher priority to the Halleck Creek opportunity than to the La Paz Project.  
</t>
    </r>
    <r>
      <rPr>
        <b/>
        <sz val="11"/>
        <color theme="1"/>
        <rFont val="Calibri"/>
        <family val="2"/>
      </rPr>
      <t xml:space="preserve">Location: Additional Location Information: </t>
    </r>
    <r>
      <rPr>
        <sz val="11"/>
        <color theme="1"/>
        <rFont val="Calibri"/>
        <family val="2"/>
      </rPr>
      <t xml:space="preserve">Located 16 miles northeast of Boise (pop 707, 2020), and 66 miles northwest of Phoenix, Arizona.
</t>
    </r>
    <r>
      <rPr>
        <b/>
        <sz val="11"/>
        <color theme="1"/>
        <rFont val="Calibri"/>
        <family val="2"/>
      </rPr>
      <t>Development Plans: Processing Done by the Same Lead Developer/Parent Company: </t>
    </r>
    <r>
      <rPr>
        <sz val="11"/>
        <color theme="1"/>
        <rFont val="Calibri"/>
        <family val="2"/>
      </rPr>
      <t xml:space="preserve">Hydrometallurgical Plant and Pyrometallurgical Plant are both planned for the site.
</t>
    </r>
    <r>
      <rPr>
        <b/>
        <sz val="11"/>
        <color theme="1"/>
        <rFont val="Calibri"/>
        <family val="2"/>
      </rPr>
      <t xml:space="preserve">Financial Support: Federal Agency: </t>
    </r>
    <r>
      <rPr>
        <sz val="11"/>
        <color theme="1"/>
        <rFont val="Calibri"/>
        <family val="2"/>
      </rPr>
      <t xml:space="preserve">In-kind assistance through collaboration with DOE’s Critical Material Institute; no grant or loan
</t>
    </r>
    <r>
      <rPr>
        <b/>
        <sz val="11"/>
        <color theme="1"/>
        <rFont val="Calibri"/>
        <family val="2"/>
      </rPr>
      <t>Land Ownership: Type of Land:</t>
    </r>
    <r>
      <rPr>
        <sz val="11"/>
        <color theme="1"/>
        <rFont val="Calibri"/>
        <family val="2"/>
      </rPr>
      <t xml:space="preserve"> Project covers 6866 acres; it includes the Beaver Creek and Searchlight properties. $300 million in royalties to be paid to landowners.</t>
    </r>
  </si>
  <si>
    <r>
      <rPr>
        <b/>
        <sz val="11"/>
        <color theme="1"/>
        <rFont val="Calibri"/>
        <family val="2"/>
      </rPr>
      <t>Project Description: Status of Project:</t>
    </r>
    <r>
      <rPr>
        <sz val="11"/>
        <color theme="1"/>
        <rFont val="Calibri"/>
        <family val="2"/>
      </rPr>
      <t xml:space="preserve"> The developer is implementing an expansion plan at Mountain Pass that led to a record level of output in early 2024. 
</t>
    </r>
    <r>
      <rPr>
        <b/>
        <sz val="11"/>
        <color theme="1"/>
        <rFont val="Calibri"/>
        <family val="2"/>
      </rPr>
      <t xml:space="preserve">Location: Additional Location Information: </t>
    </r>
    <r>
      <rPr>
        <sz val="11"/>
        <color theme="1"/>
        <rFont val="Calibri"/>
        <family val="2"/>
      </rPr>
      <t xml:space="preserve">Located in the Mojave Desert in southeastern California. Accessed through the Bailey Road exit from the Interstate 15; 9 miles from Nevada line and 60 miles southwest of Las Vegas and 30 miles from Baker (pop 442, 2020), California. 
</t>
    </r>
    <r>
      <rPr>
        <b/>
        <sz val="11"/>
        <color theme="1"/>
        <rFont val="Calibri"/>
        <family val="2"/>
      </rPr>
      <t xml:space="preserve">Developer Description: Lead Developer: </t>
    </r>
    <r>
      <rPr>
        <sz val="11"/>
        <color theme="1"/>
        <rFont val="Calibri"/>
        <family val="2"/>
      </rPr>
      <t xml:space="preserve">The developer, which held unsuccessful merger talks this year with rival Lynas Rare Earths, has struggled in recent months (2024) with falling prices and stiff competition from Chinese rivals.
</t>
    </r>
    <r>
      <rPr>
        <b/>
        <sz val="11"/>
        <color theme="1"/>
        <rFont val="Calibri"/>
        <family val="2"/>
      </rPr>
      <t>Developer Description: Was There Change in Ownership during Project?: </t>
    </r>
    <r>
      <rPr>
        <sz val="11"/>
        <color theme="1"/>
        <rFont val="Calibri"/>
        <family val="2"/>
      </rPr>
      <t xml:space="preserve">Mine purchased in 2017 from Molycorp, who in turn purchased the mine in 2007 from Chevron Corp.
</t>
    </r>
    <r>
      <rPr>
        <b/>
        <sz val="11"/>
        <color theme="1"/>
        <rFont val="Calibri"/>
        <family val="2"/>
      </rPr>
      <t xml:space="preserve">Development Plans: Planned Production Capacity: </t>
    </r>
    <r>
      <rPr>
        <sz val="11"/>
        <color theme="1"/>
        <rFont val="Calibri"/>
        <family val="2"/>
      </rPr>
      <t xml:space="preserve">15% of global demand, 38,500mt of rare earths in concentrate.
</t>
    </r>
    <r>
      <rPr>
        <b/>
        <sz val="11"/>
        <color theme="1"/>
        <rFont val="Calibri"/>
        <family val="2"/>
      </rPr>
      <t xml:space="preserve">Development Plans: Processing Plan in US: </t>
    </r>
    <r>
      <rPr>
        <sz val="11"/>
        <color theme="1"/>
        <rFont val="Calibri"/>
        <family val="2"/>
      </rPr>
      <t xml:space="preserve">On site. Cost savings, as become only combined mine-processing facility in North America. China dominates global processing. MP Materials is investing $700 million to develop rare-earth processing capabilities in the U.S., including separating NdPr oxide at Mountain Pass and establishing a facility in Fort Worth, Texas to produce alloys and magnets for EVs; aiming to produce finished magnets by 2025.
</t>
    </r>
    <r>
      <rPr>
        <b/>
        <sz val="11"/>
        <color theme="1"/>
        <rFont val="Calibri"/>
        <family val="2"/>
      </rPr>
      <t xml:space="preserve">Financial Support: Federal Agency: </t>
    </r>
    <r>
      <rPr>
        <sz val="11"/>
        <color theme="1"/>
        <rFont val="Calibri"/>
        <family val="2"/>
      </rPr>
      <t xml:space="preserve">$10 Million in 2020 to reopen after bankruptcy, later $35 million for processing facility on site. $58.5 million tax-credit allocation for construction of manufacturing facility. Section 48C Advanced Energy Project. The most recent award went to Lynas Corp for a new commercial-scale heavy rare-earth oxide production facility on the Gulf coast of Texas; Mountain Pass was seen as a possible supplier of some mined material.  
</t>
    </r>
    <r>
      <rPr>
        <b/>
        <sz val="11"/>
        <color theme="1"/>
        <rFont val="Calibri"/>
        <family val="2"/>
      </rPr>
      <t>Financial Support: Public Supply Agreement w/ an Automaker or Battery/Component Producer: </t>
    </r>
    <r>
      <rPr>
        <sz val="11"/>
        <color theme="1"/>
        <rFont val="Calibri"/>
        <family val="2"/>
      </rPr>
      <t>GM deal 2021, long term customer.</t>
    </r>
  </si>
  <si>
    <r>
      <rPr>
        <b/>
        <sz val="11"/>
        <color theme="1"/>
        <rFont val="Calibri"/>
        <family val="2"/>
      </rPr>
      <t xml:space="preserve">Project Description: Status of Project:  </t>
    </r>
    <r>
      <rPr>
        <sz val="11"/>
        <color theme="1"/>
        <rFont val="Calibri"/>
        <family val="2"/>
      </rPr>
      <t xml:space="preserve">Exploration -- The 2024 drilling program will allow an update to the January 2023 resource estimate.  Environmental baseline study work and hydrology/water monitoring are on-going as the developer readies to commence the Mine Plan of Operations permitting process.
</t>
    </r>
    <r>
      <rPr>
        <b/>
        <sz val="11"/>
        <color theme="1"/>
        <rFont val="Calibri"/>
        <family val="2"/>
      </rPr>
      <t xml:space="preserve">Location: Additional Location Information: </t>
    </r>
    <r>
      <rPr>
        <sz val="11"/>
        <color theme="1"/>
        <rFont val="Calibri"/>
        <family val="2"/>
      </rPr>
      <t>Located 6 miles northwest of Tonopah (pop 2,179, 2020) in the Big Smoky Valley, halfway between Reno and Las Vegas. </t>
    </r>
  </si>
  <si>
    <r>
      <rPr>
        <b/>
        <sz val="11"/>
        <color theme="1"/>
        <rFont val="Calibri"/>
        <family val="2"/>
      </rPr>
      <t xml:space="preserve">Project Description: Existing Mine: </t>
    </r>
    <r>
      <rPr>
        <sz val="11"/>
        <color theme="1"/>
        <rFont val="Calibri"/>
        <family val="2"/>
      </rPr>
      <t xml:space="preserve">Production ended in 1982, peak production in 1953.
</t>
    </r>
    <r>
      <rPr>
        <b/>
        <sz val="11"/>
        <color theme="1"/>
        <rFont val="Calibri"/>
        <family val="2"/>
      </rPr>
      <t>Project Description: Status of Project: </t>
    </r>
    <r>
      <rPr>
        <sz val="11"/>
        <color theme="1"/>
        <rFont val="Calibri"/>
        <family val="2"/>
      </rPr>
      <t>Exploration.</t>
    </r>
    <r>
      <rPr>
        <b/>
        <sz val="11"/>
        <color theme="1"/>
        <rFont val="Calibri"/>
        <family val="2"/>
      </rPr>
      <t xml:space="preserve"> </t>
    </r>
    <r>
      <rPr>
        <sz val="11"/>
        <color theme="1"/>
        <rFont val="Calibri"/>
        <family val="2"/>
      </rPr>
      <t xml:space="preserve">2023 drilling program led to updated mineral resource estimates in a 2024 technical report.  Since Tonopah Flats is an unconventional claystone resource, the developer has advanced first-of-kind lithium hydroxide extraction and purification processes specific to the site’s claystone material.  In 2024 the developer finished construction of an integrated pilot scale facility to demonstrate these processes.
</t>
    </r>
    <r>
      <rPr>
        <b/>
        <sz val="11"/>
        <color theme="1"/>
        <rFont val="Calibri"/>
        <family val="2"/>
      </rPr>
      <t>Location: Additional Location Information: </t>
    </r>
    <r>
      <rPr>
        <sz val="11"/>
        <color theme="1"/>
        <rFont val="Calibri"/>
        <family val="2"/>
      </rPr>
      <t xml:space="preserve">Located in Big Smoky Valley 5 miles west of town of Tonopah (2179, 2020) between the San Antonio Mountains to the east and the Monte Cristo Mountains to the west. Tonopah is located at the junction of U.S. Routes 6 and 95, approximately midway between Las Vegas and Reno, Nevada.
</t>
    </r>
    <r>
      <rPr>
        <b/>
        <sz val="11"/>
        <color theme="1"/>
        <rFont val="Calibri"/>
        <family val="2"/>
      </rPr>
      <t xml:space="preserve">Financial Support: Federal Agency: </t>
    </r>
    <r>
      <rPr>
        <sz val="11"/>
        <color theme="1"/>
        <rFont val="Calibri"/>
        <family val="2"/>
      </rPr>
      <t>The developer has received a DOE grant to help finance a commercial scale lithium hydroxide refinery, a DOE grant for a demonstration facility of techniques to convert claystone into lithium hydroxide, and multiple DOE tax credits for battery recycling facilities. </t>
    </r>
  </si>
  <si>
    <r>
      <rPr>
        <b/>
        <sz val="11"/>
        <color theme="1"/>
        <rFont val="Calibri"/>
        <family val="2"/>
      </rPr>
      <t xml:space="preserve">Project Description: Status of Project: </t>
    </r>
    <r>
      <rPr>
        <sz val="11"/>
        <color theme="1"/>
        <rFont val="Calibri"/>
        <family val="2"/>
      </rPr>
      <t xml:space="preserve">Over $100 million has been invested in mineral exploration, geotechnical, and environmental studies at Palmer.  The focus of the current drilling programs (2022 – 2024) has been limited to the Palmer Deposit SW and RW Zones, which form the major portion of the current known mineralization at the Project.  The mineral estimates were updated in January 2025. 
</t>
    </r>
    <r>
      <rPr>
        <b/>
        <sz val="11"/>
        <color theme="1"/>
        <rFont val="Calibri"/>
        <family val="2"/>
      </rPr>
      <t xml:space="preserve">Location: County: </t>
    </r>
    <r>
      <rPr>
        <sz val="11"/>
        <color theme="1"/>
        <rFont val="Calibri"/>
        <family val="2"/>
      </rPr>
      <t xml:space="preserve">Mantanuska - Susnita Borough (Alaska does not have counties).
</t>
    </r>
    <r>
      <rPr>
        <b/>
        <sz val="11"/>
        <color theme="1"/>
        <rFont val="Calibri"/>
        <family val="2"/>
      </rPr>
      <t xml:space="preserve">Location: Additional Location Information: </t>
    </r>
    <r>
      <rPr>
        <sz val="11"/>
        <color theme="1"/>
        <rFont val="Calibri"/>
        <family val="2"/>
      </rPr>
      <t xml:space="preserve">The Property is located 37 milwa northwest from Haines, southeast Alaska, in the Alaska panhandle. The western boundary of Palmer is coincident with the British Columbia Province of Canada and the international border. The Property lies 1-2 miles from the Haines Highway, which links the project to the deep-sea port of Haines. The Palmer project would sit in the watershed of the Chilkat River,  The Palmer Project is a copper, zinc, gold, silver and barite deposit that sits above Glacier Creek, which is a tributary to the Klehini and Chilkat rivers. The Tlingit village of Klukwan sits about 15 miles downstream from the mine at the confluence of the Chilkat and Klehini rivers.                                                                                                                                                                                                                                                                    
</t>
    </r>
    <r>
      <rPr>
        <b/>
        <sz val="11"/>
        <color theme="1"/>
        <rFont val="Calibri"/>
        <family val="2"/>
      </rPr>
      <t>Developer Description: Change in Ownership: I</t>
    </r>
    <r>
      <rPr>
        <sz val="11"/>
        <color theme="1"/>
        <rFont val="Calibri"/>
        <family val="2"/>
      </rPr>
      <t>n a deal announced in 2024,  Dowa Metals and Mining, a Japanese company, will give up its roughly 70% interest in the Palmer Project. Taking over is American Pacific Mining Corp., a small Canadian company (junior miner). It’s set to take full ownership of the project, up from its current 30% minority stake.</t>
    </r>
  </si>
  <si>
    <r>
      <rPr>
        <b/>
        <sz val="11"/>
        <color theme="1"/>
        <rFont val="Calibri"/>
        <family val="2"/>
      </rPr>
      <t xml:space="preserve">Project Description: Status of Project: </t>
    </r>
    <r>
      <rPr>
        <sz val="11"/>
        <color theme="1"/>
        <rFont val="Calibri"/>
        <family val="2"/>
      </rPr>
      <t xml:space="preserve">Goal is to reach full production level in mid-2026. In 2023 the developer completed a Technical Report on capital costs for the full project. In 2024 the developer investigated federal funding opportunities at the Department of Defense and the Department of Energy.  In early January 2024 limited quantities of boric acid and lithium were extracted at four production wells.
</t>
    </r>
    <r>
      <rPr>
        <b/>
        <sz val="11"/>
        <color theme="1"/>
        <rFont val="Calibri"/>
        <family val="2"/>
      </rPr>
      <t>Location: Additional Location Information: </t>
    </r>
    <r>
      <rPr>
        <sz val="11"/>
        <color theme="1"/>
        <rFont val="Calibri"/>
        <family val="2"/>
      </rPr>
      <t xml:space="preserve">Located in the Mojave Desert, CA, approximately 30 miles east of Barstow (pop 25,415, 2020) and two-and-four-tenths miles south of Interstate 40.
</t>
    </r>
    <r>
      <rPr>
        <b/>
        <sz val="11"/>
        <color theme="1"/>
        <rFont val="Calibri"/>
        <family val="2"/>
      </rPr>
      <t>Developer Description: Lead Developer:</t>
    </r>
    <r>
      <rPr>
        <sz val="11"/>
        <color theme="1"/>
        <rFont val="Calibri"/>
        <family val="2"/>
      </rPr>
      <t xml:space="preserve"> When a group of investors acquired the Fort Cady project in 2016, the company, was known as American Pacific Borates, and was listed on the Australian Securities Exchange (ASX). It was later rebranded to 5E Advanced Materials and the primary listing was moved to the Nasdaq.
</t>
    </r>
    <r>
      <rPr>
        <b/>
        <sz val="11"/>
        <color theme="1"/>
        <rFont val="Calibri"/>
        <family val="2"/>
      </rPr>
      <t xml:space="preserve">Development Plans: Planned Production Capacity: </t>
    </r>
    <r>
      <rPr>
        <sz val="11"/>
        <color theme="1"/>
        <rFont val="Calibri"/>
        <family val="2"/>
      </rPr>
      <t xml:space="preserve">Phase 1 would yield around 1,100 tons per year of lithium carbonate, and this volume would be expected to rise to 5,500 tons per year in phase 3.  
</t>
    </r>
    <r>
      <rPr>
        <b/>
        <sz val="11"/>
        <color theme="1"/>
        <rFont val="Calibri"/>
        <family val="2"/>
      </rPr>
      <t>Development Plans: Total Capital Costs: </t>
    </r>
    <r>
      <rPr>
        <sz val="11"/>
        <color theme="1"/>
        <rFont val="Calibri"/>
        <family val="2"/>
      </rPr>
      <t xml:space="preserve">Investment at the Fort Cady facility was $70 million as of mid-2023. Capital expenditures expected to be spread through 2024-26, totaling $373 million.
</t>
    </r>
    <r>
      <rPr>
        <b/>
        <sz val="11"/>
        <color theme="1"/>
        <rFont val="Calibri"/>
        <family val="2"/>
      </rPr>
      <t xml:space="preserve">Financial Support: Grant/Loan: </t>
    </r>
    <r>
      <rPr>
        <sz val="11"/>
        <color theme="1"/>
        <rFont val="Calibri"/>
        <family val="2"/>
      </rPr>
      <t xml:space="preserve">Some additional support from the US Department of Agriculture.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</si>
</sst>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77">
    <font>
      <sz val="11"/>
      <color theme="1"/>
      <name val="Calibri"/>
      <scheme val="minor"/>
    </font>
    <font>
      <b/>
      <sz val="22"/>
      <color rgb="FF000000"/>
      <name val="Calibri"/>
      <family val="2"/>
    </font>
    <font>
      <sz val="11"/>
      <color rgb="FF000000"/>
      <name val="Calibri"/>
      <family val="2"/>
      <scheme val="minor"/>
    </font>
    <font>
      <sz val="11"/>
      <color rgb="FF000000"/>
      <name val="Calibri"/>
      <family val="2"/>
    </font>
    <font>
      <b/>
      <sz val="18"/>
      <color rgb="FF000000"/>
      <name val="Calibri"/>
      <family val="2"/>
    </font>
    <font>
      <sz val="11"/>
      <name val="Calibri"/>
      <family val="2"/>
    </font>
    <font>
      <b/>
      <sz val="18"/>
      <color rgb="FF000000"/>
      <name val="Calibri"/>
      <family val="2"/>
      <scheme val="minor"/>
    </font>
    <font>
      <b/>
      <sz val="18"/>
      <color rgb="FF000000"/>
      <name val="Docs-Calibri"/>
    </font>
    <font>
      <b/>
      <sz val="14"/>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FF"/>
      <name val="Aptos"/>
    </font>
    <font>
      <u/>
      <sz val="11"/>
      <color rgb="FF0000FF"/>
      <name val="Arial"/>
      <family val="2"/>
    </font>
    <font>
      <u/>
      <sz val="11"/>
      <color rgb="FF000000"/>
      <name val="Calibri"/>
      <family val="2"/>
    </font>
    <font>
      <u/>
      <sz val="11"/>
      <color rgb="FF000000"/>
      <name val="Calibri"/>
      <family val="2"/>
    </font>
    <font>
      <u/>
      <sz val="11"/>
      <color rgb="FF000000"/>
      <name val="Calibri"/>
      <family val="2"/>
    </font>
    <font>
      <sz val="11"/>
      <color theme="1"/>
      <name val="Calibri"/>
      <family val="2"/>
      <scheme val="minor"/>
    </font>
    <font>
      <u/>
      <sz val="11"/>
      <color rgb="FF000000"/>
      <name val="Calibri"/>
      <family val="2"/>
    </font>
    <font>
      <sz val="11"/>
      <color rgb="FF242424"/>
      <name val="Calibri"/>
      <family val="2"/>
    </font>
    <font>
      <u/>
      <sz val="11"/>
      <color rgb="FF242424"/>
      <name val="Calibri"/>
      <family val="2"/>
    </font>
    <font>
      <u/>
      <sz val="12"/>
      <color rgb="FF000000"/>
      <name val="Times"/>
    </font>
    <font>
      <u/>
      <sz val="11"/>
      <color rgb="FF000000"/>
      <name val="Calibri"/>
      <family val="2"/>
    </font>
    <font>
      <u/>
      <sz val="11"/>
      <color rgb="FF0000FF"/>
      <name val="Calibri"/>
      <family val="2"/>
    </font>
    <font>
      <u/>
      <sz val="11"/>
      <color rgb="FF000000"/>
      <name val="Calibri"/>
      <family val="2"/>
    </font>
    <font>
      <u/>
      <sz val="11"/>
      <color rgb="FF000000"/>
      <name val="Calibri"/>
      <family val="2"/>
    </font>
    <font>
      <u/>
      <sz val="11"/>
      <color rgb="FF242424"/>
      <name val="Aptos"/>
    </font>
    <font>
      <u/>
      <sz val="11"/>
      <color rgb="FF000000"/>
      <name val="Calibri"/>
      <family val="2"/>
    </font>
    <font>
      <u/>
      <sz val="11"/>
      <color rgb="FF242424"/>
      <name val="Calibri"/>
      <family val="2"/>
    </font>
    <font>
      <sz val="11"/>
      <color theme="1"/>
      <name val="Calibri"/>
      <family val="2"/>
    </font>
    <font>
      <u/>
      <sz val="11"/>
      <color rgb="FF0000FF"/>
      <name val="Arial"/>
      <family val="2"/>
    </font>
    <font>
      <u/>
      <sz val="12"/>
      <color rgb="FF000000"/>
      <name val="Times"/>
    </font>
    <font>
      <u/>
      <sz val="11"/>
      <color rgb="FF000000"/>
      <name val="Calibri"/>
      <family val="2"/>
    </font>
    <font>
      <u/>
      <sz val="11"/>
      <color rgb="FF242424"/>
      <name val="Calibri"/>
      <family val="2"/>
    </font>
    <font>
      <u/>
      <sz val="11"/>
      <color rgb="FF000000"/>
      <name val="Calibri"/>
      <family val="2"/>
    </font>
    <font>
      <u/>
      <sz val="11"/>
      <color rgb="FF000000"/>
      <name val="Calibri"/>
      <family val="2"/>
    </font>
    <font>
      <u/>
      <sz val="11"/>
      <color rgb="FF0563C1"/>
      <name val="Calibri"/>
      <family val="2"/>
    </font>
    <font>
      <u/>
      <sz val="11"/>
      <color rgb="FF242424"/>
      <name val="Calibri"/>
      <family val="2"/>
    </font>
    <font>
      <sz val="11"/>
      <color rgb="FF000000"/>
      <name val="Calibri"/>
      <family val="2"/>
      <scheme val="minor"/>
    </font>
    <font>
      <u/>
      <sz val="11"/>
      <color rgb="FF000000"/>
      <name val="Arial"/>
      <family val="2"/>
    </font>
    <font>
      <u/>
      <sz val="11"/>
      <color rgb="FF000000"/>
      <name val="Arial"/>
      <family val="2"/>
    </font>
    <font>
      <u/>
      <sz val="11"/>
      <color rgb="FF0000FF"/>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2"/>
      <color rgb="FF000000"/>
      <name val="Calibri"/>
      <family val="2"/>
    </font>
    <font>
      <u/>
      <sz val="11"/>
      <color rgb="FF242424"/>
      <name val="Calibri"/>
      <family val="2"/>
    </font>
    <font>
      <u/>
      <sz val="11"/>
      <color rgb="FF000000"/>
      <name val="Calibri"/>
      <family val="2"/>
    </font>
    <font>
      <u/>
      <sz val="11"/>
      <color rgb="FF000000"/>
      <name val="Arial"/>
      <family val="2"/>
    </font>
    <font>
      <sz val="11"/>
      <color rgb="FF000000"/>
      <name val="Docs-Calibri"/>
    </font>
    <font>
      <u/>
      <sz val="11"/>
      <color rgb="FF000000"/>
      <name val="Calibri"/>
      <family val="2"/>
    </font>
    <font>
      <u/>
      <sz val="11"/>
      <color rgb="FF000000"/>
      <name val="Calibri"/>
      <family val="2"/>
    </font>
    <font>
      <u/>
      <sz val="11"/>
      <color rgb="FF0000FF"/>
      <name val="Calibri"/>
      <family val="2"/>
    </font>
    <font>
      <u/>
      <sz val="11"/>
      <color rgb="FF242424"/>
      <name val="Calibri"/>
      <family val="2"/>
    </font>
    <font>
      <b/>
      <sz val="11"/>
      <color theme="1"/>
      <name val="Calibri"/>
      <family val="2"/>
      <scheme val="minor"/>
    </font>
    <font>
      <sz val="10"/>
      <color theme="1"/>
      <name val="Arial"/>
      <family val="2"/>
    </font>
    <font>
      <b/>
      <sz val="11"/>
      <color rgb="FF434343"/>
      <name val="Roboto"/>
    </font>
    <font>
      <sz val="11"/>
      <color rgb="FF434343"/>
      <name val="Roboto"/>
    </font>
    <font>
      <sz val="11"/>
      <color theme="1"/>
      <name val="Arial"/>
      <family val="2"/>
    </font>
    <font>
      <b/>
      <sz val="11"/>
      <color theme="1"/>
      <name val="Calibri"/>
      <family val="2"/>
    </font>
    <font>
      <sz val="11"/>
      <color rgb="FF000000"/>
      <name val="Arial, sans-serif"/>
    </font>
    <font>
      <u/>
      <sz val="11"/>
      <color rgb="FF1155CC"/>
      <name val="Aptos, sans-serif"/>
    </font>
    <font>
      <u/>
      <sz val="11"/>
      <color rgb="FF1155CC"/>
      <name val="Calibri, sans-serif"/>
    </font>
    <font>
      <sz val="11"/>
      <color rgb="FF000000"/>
      <name val="Calibri, sans-serif"/>
    </font>
    <font>
      <u/>
      <sz val="11"/>
      <color rgb="FF000000"/>
      <name val="Calibri, sans-serif"/>
    </font>
    <font>
      <sz val="11"/>
      <color rgb="FF242424"/>
      <name val="Calibri, sans-serif"/>
    </font>
    <font>
      <u/>
      <sz val="12"/>
      <color rgb="FF1155CC"/>
      <name val="Roboto, sans-serif"/>
    </font>
    <font>
      <u/>
      <sz val="11"/>
      <color rgb="FF000000"/>
      <name val="Arial, sans-serif"/>
    </font>
    <font>
      <u/>
      <sz val="12"/>
      <color rgb="FF000000"/>
      <name val="&quot;Times New Roman&quot;, serif"/>
    </font>
    <font>
      <u/>
      <sz val="11"/>
      <color rgb="FF1155CC"/>
      <name val="Arial, sans-serif"/>
    </font>
    <font>
      <u/>
      <sz val="11"/>
      <color rgb="FF1155CC"/>
      <name val="Arial"/>
      <family val="2"/>
    </font>
    <font>
      <u/>
      <sz val="11"/>
      <color rgb="FF1155CC"/>
      <name val="Calibri"/>
      <family val="2"/>
    </font>
    <font>
      <u/>
      <sz val="11"/>
      <color rgb="FF000000"/>
      <name val="Calibri"/>
      <family val="2"/>
      <scheme val="minor"/>
    </font>
    <font>
      <b/>
      <sz val="11"/>
      <color theme="1"/>
      <name val="Arial"/>
      <family val="2"/>
    </font>
    <font>
      <i/>
      <sz val="11"/>
      <color theme="1"/>
      <name val="Calibri"/>
      <family val="2"/>
    </font>
  </fonts>
  <fills count="9">
    <fill>
      <patternFill patternType="none"/>
    </fill>
    <fill>
      <patternFill patternType="gray125"/>
    </fill>
    <fill>
      <patternFill patternType="solid">
        <fgColor theme="6"/>
        <bgColor theme="6"/>
      </patternFill>
    </fill>
    <fill>
      <patternFill patternType="solid">
        <fgColor rgb="FFB4C6E7"/>
        <bgColor rgb="FFB4C6E7"/>
      </patternFill>
    </fill>
    <fill>
      <patternFill patternType="solid">
        <fgColor rgb="FFCCCCCC"/>
        <bgColor rgb="FFCCCCCC"/>
      </patternFill>
    </fill>
    <fill>
      <patternFill patternType="solid">
        <fgColor rgb="FFFFFF00"/>
        <bgColor rgb="FFFFFF00"/>
      </patternFill>
    </fill>
    <fill>
      <patternFill patternType="solid">
        <fgColor rgb="FFD9E2F3"/>
        <bgColor rgb="FFD9E2F3"/>
      </patternFill>
    </fill>
    <fill>
      <patternFill patternType="solid">
        <fgColor rgb="FFFFFFFF"/>
        <bgColor rgb="FFFFFFFF"/>
      </patternFill>
    </fill>
    <fill>
      <patternFill patternType="solid">
        <fgColor rgb="FFFAFAFA"/>
        <bgColor rgb="FFFAFAFA"/>
      </patternFill>
    </fill>
  </fills>
  <borders count="23">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right/>
      <top/>
      <bottom/>
      <diagonal/>
    </border>
    <border>
      <left/>
      <right/>
      <top/>
      <bottom/>
      <diagonal/>
    </border>
    <border>
      <left/>
      <right style="thin">
        <color rgb="FF000000"/>
      </right>
      <top/>
      <bottom/>
      <diagonal/>
    </border>
    <border>
      <left/>
      <right/>
      <top/>
      <bottom/>
      <diagonal/>
    </border>
    <border>
      <left/>
      <right style="thin">
        <color rgb="FF000000"/>
      </right>
      <top/>
      <bottom/>
      <diagonal/>
    </border>
    <border>
      <left/>
      <right style="thin">
        <color rgb="FF000000"/>
      </right>
      <top/>
      <bottom/>
      <diagonal/>
    </border>
    <border>
      <left style="thin">
        <color rgb="FF8795AD"/>
      </left>
      <right style="thin">
        <color rgb="FFB4C6E7"/>
      </right>
      <top style="thin">
        <color rgb="FF8795AD"/>
      </top>
      <bottom style="thin">
        <color rgb="FF8795AD"/>
      </bottom>
      <diagonal/>
    </border>
    <border>
      <left style="thin">
        <color rgb="FFB4C6E7"/>
      </left>
      <right style="thin">
        <color rgb="FF8795AD"/>
      </right>
      <top style="thin">
        <color rgb="FF8795AD"/>
      </top>
      <bottom style="thin">
        <color rgb="FF8795AD"/>
      </bottom>
      <diagonal/>
    </border>
    <border>
      <left style="thin">
        <color rgb="FF8795AD"/>
      </left>
      <right style="thin">
        <color rgb="FFFFFFFF"/>
      </right>
      <top style="thin">
        <color rgb="FFFFFFFF"/>
      </top>
      <bottom style="thin">
        <color rgb="FFFFFFFF"/>
      </bottom>
      <diagonal/>
    </border>
    <border>
      <left style="thin">
        <color rgb="FFFFFFFF"/>
      </left>
      <right style="thin">
        <color rgb="FF8795AD"/>
      </right>
      <top style="thin">
        <color rgb="FFFFFFFF"/>
      </top>
      <bottom style="thin">
        <color rgb="FFFFFFFF"/>
      </bottom>
      <diagonal/>
    </border>
    <border>
      <left style="thin">
        <color rgb="FF8795AD"/>
      </left>
      <right style="thin">
        <color rgb="FFF8F9FA"/>
      </right>
      <top style="thin">
        <color rgb="FFF8F9FA"/>
      </top>
      <bottom style="thin">
        <color rgb="FFF8F9FA"/>
      </bottom>
      <diagonal/>
    </border>
    <border>
      <left style="thin">
        <color rgb="FFF8F9FA"/>
      </left>
      <right style="thin">
        <color rgb="FF8795AD"/>
      </right>
      <top style="thin">
        <color rgb="FFF8F9FA"/>
      </top>
      <bottom style="thin">
        <color rgb="FFF8F9FA"/>
      </bottom>
      <diagonal/>
    </border>
    <border>
      <left style="thin">
        <color rgb="FFFAFAFA"/>
      </left>
      <right style="thin">
        <color rgb="FF8795AD"/>
      </right>
      <top style="thin">
        <color rgb="FFFAFAFA"/>
      </top>
      <bottom style="thin">
        <color rgb="FFF8F9FA"/>
      </bottom>
      <diagonal/>
    </border>
    <border>
      <left style="thin">
        <color rgb="FF8795AD"/>
      </left>
      <right style="thin">
        <color rgb="FFFFFFFF"/>
      </right>
      <top style="thin">
        <color rgb="FFFFFFFF"/>
      </top>
      <bottom style="thin">
        <color rgb="FF8795AD"/>
      </bottom>
      <diagonal/>
    </border>
    <border>
      <left style="thin">
        <color rgb="FFFFFFFF"/>
      </left>
      <right style="thin">
        <color rgb="FF8795AD"/>
      </right>
      <top style="thin">
        <color rgb="FFFFFFFF"/>
      </top>
      <bottom style="thin">
        <color rgb="FF8795AD"/>
      </bottom>
      <diagonal/>
    </border>
  </borders>
  <cellStyleXfs count="1">
    <xf numFmtId="0" fontId="0" fillId="0" borderId="0"/>
  </cellStyleXfs>
  <cellXfs count="167">
    <xf numFmtId="0" fontId="0" fillId="0" borderId="0" xfId="0"/>
    <xf numFmtId="0" fontId="1" fillId="0" borderId="0" xfId="0" applyFont="1"/>
    <xf numFmtId="0" fontId="2" fillId="0" borderId="0" xfId="0" applyFont="1"/>
    <xf numFmtId="3" fontId="1" fillId="0" borderId="0" xfId="0" applyNumberFormat="1" applyFont="1"/>
    <xf numFmtId="0" fontId="1" fillId="0" borderId="0" xfId="0" applyFont="1" applyAlignment="1">
      <alignment horizontal="center"/>
    </xf>
    <xf numFmtId="0" fontId="4" fillId="4" borderId="2" xfId="0" applyFont="1" applyFill="1" applyBorder="1" applyAlignment="1">
      <alignment horizontal="center" wrapText="1"/>
    </xf>
    <xf numFmtId="0" fontId="7" fillId="4" borderId="0" xfId="0" applyFont="1" applyFill="1" applyAlignment="1">
      <alignment horizontal="center" wrapText="1"/>
    </xf>
    <xf numFmtId="0" fontId="7" fillId="4" borderId="5" xfId="0" applyFont="1" applyFill="1" applyBorder="1" applyAlignment="1">
      <alignment horizontal="center" wrapText="1"/>
    </xf>
    <xf numFmtId="0" fontId="4" fillId="4" borderId="0" xfId="0" applyFont="1" applyFill="1" applyAlignment="1">
      <alignment horizontal="center" wrapText="1"/>
    </xf>
    <xf numFmtId="0" fontId="4" fillId="4" borderId="6" xfId="0" applyFont="1" applyFill="1" applyBorder="1" applyAlignment="1">
      <alignment horizontal="center" wrapText="1"/>
    </xf>
    <xf numFmtId="0" fontId="4" fillId="4" borderId="5" xfId="0" applyFont="1" applyFill="1" applyBorder="1" applyAlignment="1">
      <alignment horizontal="center" wrapText="1"/>
    </xf>
    <xf numFmtId="0" fontId="4" fillId="4" borderId="1" xfId="0" applyFont="1" applyFill="1" applyBorder="1" applyAlignment="1">
      <alignment horizontal="center" wrapText="1"/>
    </xf>
    <xf numFmtId="0" fontId="4" fillId="4" borderId="7" xfId="0" applyFont="1" applyFill="1" applyBorder="1" applyAlignment="1">
      <alignment horizont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4" fillId="4" borderId="12" xfId="0" applyFont="1" applyFill="1" applyBorder="1" applyAlignment="1">
      <alignment horizontal="center" wrapText="1"/>
    </xf>
    <xf numFmtId="3" fontId="8" fillId="4" borderId="2" xfId="0" applyNumberFormat="1" applyFont="1" applyFill="1" applyBorder="1" applyAlignment="1">
      <alignment horizontal="center" wrapText="1"/>
    </xf>
    <xf numFmtId="0" fontId="8" fillId="4" borderId="0" xfId="0" applyFont="1" applyFill="1" applyAlignment="1">
      <alignment horizontal="center" wrapText="1"/>
    </xf>
    <xf numFmtId="0" fontId="8" fillId="4" borderId="1" xfId="0" applyFont="1" applyFill="1" applyBorder="1" applyAlignment="1">
      <alignment horizontal="center" wrapText="1"/>
    </xf>
    <xf numFmtId="0" fontId="8" fillId="4" borderId="13" xfId="0" applyFont="1" applyFill="1" applyBorder="1" applyAlignment="1">
      <alignment horizontal="center" wrapText="1"/>
    </xf>
    <xf numFmtId="0" fontId="8" fillId="4" borderId="2" xfId="0" applyFont="1" applyFill="1" applyBorder="1" applyAlignment="1">
      <alignment horizontal="center" wrapText="1"/>
    </xf>
    <xf numFmtId="0" fontId="3" fillId="3" borderId="2" xfId="0" applyFont="1" applyFill="1" applyBorder="1"/>
    <xf numFmtId="0" fontId="3" fillId="5" borderId="0" xfId="0" applyFont="1" applyFill="1"/>
    <xf numFmtId="0" fontId="3" fillId="5" borderId="0" xfId="0" applyFont="1" applyFill="1" applyAlignment="1">
      <alignment vertical="top"/>
    </xf>
    <xf numFmtId="0" fontId="3" fillId="3" borderId="0" xfId="0" applyFont="1" applyFill="1"/>
    <xf numFmtId="0" fontId="3" fillId="5" borderId="1" xfId="0" applyFont="1" applyFill="1" applyBorder="1"/>
    <xf numFmtId="3" fontId="3" fillId="3" borderId="0" xfId="0" applyNumberFormat="1" applyFont="1" applyFill="1" applyAlignment="1">
      <alignment horizontal="center"/>
    </xf>
    <xf numFmtId="0" fontId="3" fillId="5" borderId="0" xfId="0" applyFont="1" applyFill="1" applyAlignment="1">
      <alignment horizontal="center"/>
    </xf>
    <xf numFmtId="0" fontId="3" fillId="3" borderId="1" xfId="0" applyFont="1" applyFill="1" applyBorder="1" applyAlignment="1">
      <alignment wrapText="1"/>
    </xf>
    <xf numFmtId="0" fontId="9" fillId="3" borderId="0" xfId="0" applyFont="1" applyFill="1"/>
    <xf numFmtId="0" fontId="3" fillId="3" borderId="1" xfId="0" applyFont="1" applyFill="1" applyBorder="1" applyAlignment="1">
      <alignment horizontal="center"/>
    </xf>
    <xf numFmtId="3" fontId="3" fillId="3" borderId="0" xfId="0" applyNumberFormat="1" applyFont="1" applyFill="1"/>
    <xf numFmtId="0" fontId="3" fillId="3" borderId="0" xfId="0" applyFont="1" applyFill="1" applyAlignment="1">
      <alignment horizontal="right"/>
    </xf>
    <xf numFmtId="0" fontId="3" fillId="3" borderId="0" xfId="0" applyFont="1" applyFill="1" applyAlignment="1">
      <alignment horizontal="center"/>
    </xf>
    <xf numFmtId="0" fontId="3" fillId="3" borderId="1" xfId="0" applyFont="1" applyFill="1" applyBorder="1"/>
    <xf numFmtId="0" fontId="3" fillId="6" borderId="2" xfId="0" applyFont="1" applyFill="1" applyBorder="1"/>
    <xf numFmtId="0" fontId="3" fillId="6" borderId="0" xfId="0" applyFont="1" applyFill="1"/>
    <xf numFmtId="0" fontId="3" fillId="6" borderId="0" xfId="0" applyFont="1" applyFill="1" applyAlignment="1">
      <alignment vertical="top"/>
    </xf>
    <xf numFmtId="0" fontId="3" fillId="6" borderId="1" xfId="0" applyFont="1" applyFill="1" applyBorder="1"/>
    <xf numFmtId="0" fontId="3" fillId="6" borderId="0" xfId="0" applyFont="1" applyFill="1" applyAlignment="1">
      <alignment wrapText="1"/>
    </xf>
    <xf numFmtId="3" fontId="3" fillId="6" borderId="0" xfId="0" applyNumberFormat="1" applyFont="1" applyFill="1" applyAlignment="1">
      <alignment horizontal="center"/>
    </xf>
    <xf numFmtId="0" fontId="3" fillId="6" borderId="1" xfId="0" applyFont="1" applyFill="1" applyBorder="1" applyAlignment="1">
      <alignment wrapText="1"/>
    </xf>
    <xf numFmtId="0" fontId="2" fillId="6" borderId="0" xfId="0" applyFont="1" applyFill="1"/>
    <xf numFmtId="0" fontId="10" fillId="6" borderId="0" xfId="0" applyFont="1" applyFill="1"/>
    <xf numFmtId="0" fontId="3" fillId="6" borderId="1" xfId="0" applyFont="1" applyFill="1" applyBorder="1" applyAlignment="1">
      <alignment horizontal="center"/>
    </xf>
    <xf numFmtId="3" fontId="3" fillId="6" borderId="0" xfId="0" applyNumberFormat="1" applyFont="1" applyFill="1"/>
    <xf numFmtId="0" fontId="3" fillId="6" borderId="0" xfId="0" applyFont="1" applyFill="1" applyAlignment="1">
      <alignment horizontal="right"/>
    </xf>
    <xf numFmtId="0" fontId="3" fillId="6" borderId="0" xfId="0" applyFont="1" applyFill="1" applyAlignment="1">
      <alignment horizontal="center"/>
    </xf>
    <xf numFmtId="0" fontId="3" fillId="3" borderId="2" xfId="0" applyFont="1" applyFill="1" applyBorder="1" applyAlignment="1">
      <alignment wrapText="1"/>
    </xf>
    <xf numFmtId="0" fontId="3" fillId="3" borderId="0" xfId="0" applyFont="1" applyFill="1" applyAlignment="1">
      <alignment wrapText="1"/>
    </xf>
    <xf numFmtId="0" fontId="3" fillId="3" borderId="0" xfId="0" applyFont="1" applyFill="1" applyAlignment="1">
      <alignment vertical="top"/>
    </xf>
    <xf numFmtId="0" fontId="11" fillId="3" borderId="1" xfId="0" applyFont="1" applyFill="1" applyBorder="1" applyAlignment="1">
      <alignment horizontal="center"/>
    </xf>
    <xf numFmtId="0" fontId="3" fillId="6" borderId="2" xfId="0" applyFont="1" applyFill="1" applyBorder="1" applyAlignment="1">
      <alignment wrapText="1"/>
    </xf>
    <xf numFmtId="0" fontId="12" fillId="6" borderId="0" xfId="0" applyFont="1" applyFill="1"/>
    <xf numFmtId="3" fontId="3" fillId="6" borderId="0" xfId="0" applyNumberFormat="1" applyFont="1" applyFill="1" applyAlignment="1">
      <alignment wrapText="1"/>
    </xf>
    <xf numFmtId="0" fontId="3" fillId="6" borderId="1" xfId="0" applyFont="1" applyFill="1" applyBorder="1" applyAlignment="1">
      <alignment horizontal="center" wrapText="1"/>
    </xf>
    <xf numFmtId="0" fontId="3" fillId="5" borderId="0" xfId="0" applyFont="1" applyFill="1" applyAlignment="1">
      <alignment wrapText="1"/>
    </xf>
    <xf numFmtId="0" fontId="13" fillId="3" borderId="0" xfId="0" applyFont="1" applyFill="1"/>
    <xf numFmtId="0" fontId="3" fillId="5" borderId="1" xfId="0" applyFont="1" applyFill="1" applyBorder="1" applyAlignment="1">
      <alignment horizontal="center"/>
    </xf>
    <xf numFmtId="3" fontId="3" fillId="3" borderId="0" xfId="0" applyNumberFormat="1" applyFont="1" applyFill="1" applyAlignment="1">
      <alignment wrapText="1"/>
    </xf>
    <xf numFmtId="0" fontId="3" fillId="3" borderId="1" xfId="0" applyFont="1" applyFill="1" applyBorder="1" applyAlignment="1">
      <alignment horizontal="center" wrapText="1"/>
    </xf>
    <xf numFmtId="0" fontId="14" fillId="6" borderId="0" xfId="0" applyFont="1" applyFill="1"/>
    <xf numFmtId="0" fontId="15" fillId="6" borderId="0" xfId="0" applyFont="1" applyFill="1"/>
    <xf numFmtId="0" fontId="16" fillId="3" borderId="0" xfId="0" applyFont="1" applyFill="1"/>
    <xf numFmtId="3" fontId="17" fillId="3" borderId="0" xfId="0" applyNumberFormat="1" applyFont="1" applyFill="1"/>
    <xf numFmtId="0" fontId="18" fillId="6" borderId="0" xfId="0" applyFont="1" applyFill="1"/>
    <xf numFmtId="3" fontId="3" fillId="5" borderId="0" xfId="0" applyNumberFormat="1" applyFont="1" applyFill="1"/>
    <xf numFmtId="0" fontId="19" fillId="5" borderId="0" xfId="0" applyFont="1" applyFill="1"/>
    <xf numFmtId="0" fontId="20" fillId="7" borderId="0" xfId="0" applyFont="1" applyFill="1"/>
    <xf numFmtId="0" fontId="21" fillId="6" borderId="0" xfId="0" applyFont="1" applyFill="1"/>
    <xf numFmtId="0" fontId="22" fillId="3" borderId="0" xfId="0" applyFont="1" applyFill="1"/>
    <xf numFmtId="0" fontId="23" fillId="3" borderId="0" xfId="0" applyFont="1" applyFill="1"/>
    <xf numFmtId="0" fontId="2" fillId="3" borderId="2" xfId="0" applyFont="1" applyFill="1" applyBorder="1"/>
    <xf numFmtId="0" fontId="24" fillId="6" borderId="1" xfId="0" applyFont="1" applyFill="1" applyBorder="1" applyAlignment="1">
      <alignment horizontal="center"/>
    </xf>
    <xf numFmtId="3" fontId="3" fillId="6" borderId="0" xfId="0" applyNumberFormat="1" applyFont="1" applyFill="1" applyAlignment="1">
      <alignment horizontal="right"/>
    </xf>
    <xf numFmtId="0" fontId="25" fillId="6" borderId="0" xfId="0" applyFont="1" applyFill="1"/>
    <xf numFmtId="0" fontId="26" fillId="6" borderId="0" xfId="0" applyFont="1" applyFill="1"/>
    <xf numFmtId="0" fontId="27" fillId="3" borderId="0" xfId="0" applyFont="1" applyFill="1" applyAlignment="1">
      <alignment wrapText="1"/>
    </xf>
    <xf numFmtId="0" fontId="28" fillId="6" borderId="1" xfId="0" applyFont="1" applyFill="1" applyBorder="1" applyAlignment="1">
      <alignment horizontal="left"/>
    </xf>
    <xf numFmtId="0" fontId="3" fillId="5" borderId="1" xfId="0" applyFont="1" applyFill="1" applyBorder="1" applyAlignment="1">
      <alignment wrapText="1"/>
    </xf>
    <xf numFmtId="0" fontId="2" fillId="3" borderId="0" xfId="0" applyFont="1" applyFill="1"/>
    <xf numFmtId="0" fontId="29" fillId="5" borderId="0" xfId="0" applyFont="1" applyFill="1"/>
    <xf numFmtId="0" fontId="30" fillId="6" borderId="0" xfId="0" applyFont="1" applyFill="1"/>
    <xf numFmtId="0" fontId="3" fillId="3" borderId="0" xfId="0" applyFont="1" applyFill="1" applyAlignment="1">
      <alignment horizontal="right" wrapText="1"/>
    </xf>
    <xf numFmtId="0" fontId="31" fillId="3" borderId="0" xfId="0" applyFont="1" applyFill="1"/>
    <xf numFmtId="0" fontId="3" fillId="6" borderId="0" xfId="0" applyFont="1" applyFill="1" applyAlignment="1">
      <alignment horizontal="right" wrapText="1"/>
    </xf>
    <xf numFmtId="0" fontId="32" fillId="3" borderId="0" xfId="0" applyFont="1" applyFill="1"/>
    <xf numFmtId="0" fontId="33" fillId="3" borderId="1" xfId="0" applyFont="1" applyFill="1" applyBorder="1" applyAlignment="1">
      <alignment horizontal="left"/>
    </xf>
    <xf numFmtId="3" fontId="3" fillId="6" borderId="1" xfId="0" applyNumberFormat="1" applyFont="1" applyFill="1" applyBorder="1" applyAlignment="1">
      <alignment horizontal="center"/>
    </xf>
    <xf numFmtId="0" fontId="34" fillId="3" borderId="0" xfId="0" applyFont="1" applyFill="1"/>
    <xf numFmtId="3" fontId="3" fillId="5" borderId="0" xfId="0" applyNumberFormat="1" applyFont="1" applyFill="1" applyAlignment="1">
      <alignment wrapText="1"/>
    </xf>
    <xf numFmtId="0" fontId="35" fillId="3" borderId="0" xfId="0" applyFont="1" applyFill="1"/>
    <xf numFmtId="0" fontId="36" fillId="3" borderId="1" xfId="0" applyFont="1" applyFill="1" applyBorder="1"/>
    <xf numFmtId="0" fontId="37" fillId="6" borderId="1" xfId="0" applyFont="1" applyFill="1" applyBorder="1"/>
    <xf numFmtId="0" fontId="19" fillId="6" borderId="1" xfId="0" applyFont="1" applyFill="1" applyBorder="1" applyAlignment="1">
      <alignment horizontal="left"/>
    </xf>
    <xf numFmtId="0" fontId="38" fillId="3" borderId="0" xfId="0" applyFont="1" applyFill="1"/>
    <xf numFmtId="0" fontId="39" fillId="3" borderId="0" xfId="0" applyFont="1" applyFill="1"/>
    <xf numFmtId="0" fontId="38" fillId="6" borderId="0" xfId="0" applyFont="1" applyFill="1"/>
    <xf numFmtId="0" fontId="40" fillId="6" borderId="0" xfId="0" applyFont="1" applyFill="1"/>
    <xf numFmtId="0" fontId="3" fillId="5" borderId="0" xfId="0" applyFont="1" applyFill="1" applyAlignment="1">
      <alignment horizontal="right" wrapText="1"/>
    </xf>
    <xf numFmtId="0" fontId="41" fillId="6" borderId="0" xfId="0" applyFont="1" applyFill="1"/>
    <xf numFmtId="164" fontId="3" fillId="3" borderId="0" xfId="0" applyNumberFormat="1" applyFont="1" applyFill="1" applyAlignment="1">
      <alignment horizontal="right" wrapText="1"/>
    </xf>
    <xf numFmtId="0" fontId="42" fillId="6" borderId="0" xfId="0" applyFont="1" applyFill="1"/>
    <xf numFmtId="164" fontId="3" fillId="6" borderId="0" xfId="0" applyNumberFormat="1" applyFont="1" applyFill="1" applyAlignment="1">
      <alignment horizontal="right" wrapText="1"/>
    </xf>
    <xf numFmtId="0" fontId="43" fillId="6" borderId="0" xfId="0" applyFont="1" applyFill="1"/>
    <xf numFmtId="0" fontId="44" fillId="6" borderId="1" xfId="0" applyFont="1" applyFill="1" applyBorder="1" applyAlignment="1">
      <alignment horizontal="center"/>
    </xf>
    <xf numFmtId="0" fontId="45" fillId="3" borderId="0" xfId="0" applyFont="1" applyFill="1" applyAlignment="1">
      <alignment wrapText="1"/>
    </xf>
    <xf numFmtId="0" fontId="46" fillId="6" borderId="0" xfId="0" applyFont="1" applyFill="1" applyAlignment="1">
      <alignment wrapText="1"/>
    </xf>
    <xf numFmtId="0" fontId="47" fillId="6" borderId="0" xfId="0" applyFont="1" applyFill="1"/>
    <xf numFmtId="0" fontId="48" fillId="6" borderId="1" xfId="0" applyFont="1" applyFill="1" applyBorder="1"/>
    <xf numFmtId="0" fontId="19" fillId="3" borderId="1" xfId="0" applyFont="1" applyFill="1" applyBorder="1" applyAlignment="1">
      <alignment horizontal="left"/>
    </xf>
    <xf numFmtId="0" fontId="49" fillId="7" borderId="0" xfId="0" applyFont="1" applyFill="1"/>
    <xf numFmtId="0" fontId="50" fillId="3" borderId="0" xfId="0" applyFont="1" applyFill="1"/>
    <xf numFmtId="0" fontId="51" fillId="6" borderId="0" xfId="0" applyFont="1" applyFill="1" applyAlignment="1">
      <alignment horizontal="center"/>
    </xf>
    <xf numFmtId="0" fontId="52" fillId="3" borderId="1" xfId="0" applyFont="1" applyFill="1" applyBorder="1" applyAlignment="1">
      <alignment horizontal="center"/>
    </xf>
    <xf numFmtId="0" fontId="3" fillId="6" borderId="0" xfId="0" applyFont="1" applyFill="1" applyAlignment="1">
      <alignment horizontal="left" wrapText="1"/>
    </xf>
    <xf numFmtId="0" fontId="53" fillId="6" borderId="0" xfId="0" applyFont="1" applyFill="1" applyAlignment="1">
      <alignment horizontal="left"/>
    </xf>
    <xf numFmtId="0" fontId="54" fillId="6" borderId="0" xfId="0" applyFont="1" applyFill="1"/>
    <xf numFmtId="3" fontId="3" fillId="3" borderId="0" xfId="0" applyNumberFormat="1" applyFont="1" applyFill="1" applyAlignment="1">
      <alignment horizontal="right" wrapText="1"/>
    </xf>
    <xf numFmtId="0" fontId="55" fillId="3" borderId="1" xfId="0" applyFont="1" applyFill="1" applyBorder="1"/>
    <xf numFmtId="0" fontId="29" fillId="0" borderId="0" xfId="0" applyFont="1" applyAlignment="1">
      <alignment wrapText="1"/>
    </xf>
    <xf numFmtId="0" fontId="17" fillId="0" borderId="0" xfId="0" applyFont="1"/>
    <xf numFmtId="0" fontId="29" fillId="0" borderId="1" xfId="0" applyFont="1" applyBorder="1" applyAlignment="1">
      <alignment wrapText="1"/>
    </xf>
    <xf numFmtId="3" fontId="29" fillId="0" borderId="0" xfId="0" applyNumberFormat="1" applyFont="1" applyAlignment="1">
      <alignment wrapText="1"/>
    </xf>
    <xf numFmtId="0" fontId="29" fillId="0" borderId="1" xfId="0" applyFont="1" applyBorder="1" applyAlignment="1">
      <alignment horizontal="center" wrapText="1"/>
    </xf>
    <xf numFmtId="0" fontId="29" fillId="0" borderId="0" xfId="0" applyFont="1" applyAlignment="1">
      <alignment horizontal="center" wrapText="1"/>
    </xf>
    <xf numFmtId="0" fontId="56" fillId="0" borderId="0" xfId="0" applyFont="1"/>
    <xf numFmtId="0" fontId="57" fillId="0" borderId="0" xfId="0" applyFont="1"/>
    <xf numFmtId="0" fontId="17" fillId="0" borderId="14" xfId="0" applyFont="1" applyBorder="1" applyAlignment="1">
      <alignment horizontal="left" vertical="center"/>
    </xf>
    <xf numFmtId="0" fontId="17" fillId="0" borderId="15" xfId="0" applyFont="1" applyBorder="1" applyAlignment="1">
      <alignment horizontal="left" vertical="center"/>
    </xf>
    <xf numFmtId="0" fontId="56" fillId="0" borderId="16" xfId="0" applyFont="1" applyBorder="1" applyAlignment="1">
      <alignment vertical="center"/>
    </xf>
    <xf numFmtId="0" fontId="17" fillId="0" borderId="17" xfId="0" applyFont="1" applyBorder="1" applyAlignment="1">
      <alignment vertical="center" wrapText="1"/>
    </xf>
    <xf numFmtId="0" fontId="56" fillId="0" borderId="18" xfId="0" applyFont="1" applyBorder="1" applyAlignment="1">
      <alignment vertical="center"/>
    </xf>
    <xf numFmtId="0" fontId="17" fillId="0" borderId="19" xfId="0" applyFont="1" applyBorder="1" applyAlignment="1">
      <alignment vertical="center" wrapText="1"/>
    </xf>
    <xf numFmtId="0" fontId="58" fillId="0" borderId="18" xfId="0" applyFont="1" applyBorder="1" applyAlignment="1">
      <alignment vertical="center"/>
    </xf>
    <xf numFmtId="0" fontId="56" fillId="0" borderId="18" xfId="0" applyFont="1" applyBorder="1" applyAlignment="1">
      <alignment vertical="center" wrapText="1"/>
    </xf>
    <xf numFmtId="0" fontId="56" fillId="0" borderId="17" xfId="0" applyFont="1" applyBorder="1" applyAlignment="1">
      <alignment vertical="center" wrapText="1"/>
    </xf>
    <xf numFmtId="0" fontId="58" fillId="0" borderId="16" xfId="0" applyFont="1" applyBorder="1" applyAlignment="1">
      <alignment vertical="center"/>
    </xf>
    <xf numFmtId="0" fontId="59" fillId="7" borderId="17" xfId="0" applyFont="1" applyFill="1" applyBorder="1" applyAlignment="1">
      <alignment vertical="center" wrapText="1"/>
    </xf>
    <xf numFmtId="0" fontId="56" fillId="0" borderId="16" xfId="0" applyFont="1" applyBorder="1" applyAlignment="1">
      <alignment vertical="center" wrapText="1"/>
    </xf>
    <xf numFmtId="0" fontId="56" fillId="0" borderId="21" xfId="0" applyFont="1" applyBorder="1" applyAlignment="1">
      <alignment vertical="center"/>
    </xf>
    <xf numFmtId="0" fontId="17" fillId="0" borderId="22" xfId="0" applyFont="1" applyBorder="1" applyAlignment="1">
      <alignment vertical="center" wrapText="1"/>
    </xf>
    <xf numFmtId="0" fontId="3" fillId="5" borderId="0" xfId="0" applyFont="1" applyFill="1" applyAlignment="1">
      <alignment horizontal="center"/>
      <extLst>
        <ext xmlns:xfpb="http://schemas.microsoft.com/office/spreadsheetml/2022/featurepropertybag" uri="{C7286773-470A-42A8-94C5-96B5CB345126}">
          <xfpb:xfComplement i="0"/>
        </ext>
      </extLst>
    </xf>
    <xf numFmtId="0" fontId="3" fillId="6" borderId="1" xfId="0" applyFont="1" applyFill="1" applyBorder="1" applyAlignment="1">
      <alignment horizontal="center"/>
      <extLst>
        <ext xmlns:xfpb="http://schemas.microsoft.com/office/spreadsheetml/2022/featurepropertybag" uri="{C7286773-470A-42A8-94C5-96B5CB345126}">
          <xfpb:xfComplement i="0"/>
        </ext>
      </extLst>
    </xf>
    <xf numFmtId="0" fontId="3" fillId="3" borderId="1" xfId="0" applyFont="1" applyFill="1" applyBorder="1" applyAlignment="1">
      <alignment horizontal="center"/>
      <extLst>
        <ext xmlns:xfpb="http://schemas.microsoft.com/office/spreadsheetml/2022/featurepropertybag" uri="{C7286773-470A-42A8-94C5-96B5CB345126}">
          <xfpb:xfComplement i="0"/>
        </ext>
      </extLst>
    </xf>
    <xf numFmtId="0" fontId="3" fillId="5" borderId="1" xfId="0" applyFont="1" applyFill="1" applyBorder="1" applyAlignment="1">
      <alignment horizontal="center"/>
      <extLst>
        <ext xmlns:xfpb="http://schemas.microsoft.com/office/spreadsheetml/2022/featurepropertybag" uri="{C7286773-470A-42A8-94C5-96B5CB345126}">
          <xfpb:xfComplement i="0"/>
        </ext>
      </extLst>
    </xf>
    <xf numFmtId="0" fontId="3" fillId="3" borderId="0" xfId="0" applyFont="1" applyFill="1" applyAlignment="1">
      <alignment horizontal="center"/>
      <extLst>
        <ext xmlns:xfpb="http://schemas.microsoft.com/office/spreadsheetml/2022/featurepropertybag" uri="{C7286773-470A-42A8-94C5-96B5CB345126}">
          <xfpb:xfComplement i="0"/>
        </ext>
      </extLst>
    </xf>
    <xf numFmtId="0" fontId="3" fillId="6" borderId="0" xfId="0" applyFont="1" applyFill="1" applyAlignment="1">
      <alignment horizontal="center"/>
      <extLst>
        <ext xmlns:xfpb="http://schemas.microsoft.com/office/spreadsheetml/2022/featurepropertybag" uri="{C7286773-470A-42A8-94C5-96B5CB345126}">
          <xfpb:xfComplement i="0"/>
        </ext>
      </extLst>
    </xf>
    <xf numFmtId="0" fontId="29" fillId="0" borderId="19" xfId="0" applyFont="1" applyBorder="1" applyAlignment="1">
      <alignment vertical="center" wrapText="1"/>
    </xf>
    <xf numFmtId="0" fontId="29" fillId="0" borderId="17" xfId="0" applyFont="1" applyBorder="1" applyAlignment="1">
      <alignment vertical="center" wrapText="1"/>
    </xf>
    <xf numFmtId="0" fontId="58" fillId="8" borderId="20" xfId="0" applyFont="1" applyFill="1" applyBorder="1" applyAlignment="1">
      <alignment horizontal="left" vertical="center" wrapText="1"/>
    </xf>
    <xf numFmtId="0" fontId="29" fillId="0" borderId="19" xfId="0" applyFont="1" applyBorder="1" applyAlignment="1">
      <alignment horizontal="left" vertical="center" wrapText="1"/>
    </xf>
    <xf numFmtId="0" fontId="61" fillId="0" borderId="19" xfId="0" applyFont="1" applyBorder="1" applyAlignment="1">
      <alignment vertical="center" wrapText="1"/>
    </xf>
    <xf numFmtId="0" fontId="61" fillId="0" borderId="17" xfId="0" applyFont="1" applyBorder="1" applyAlignment="1">
      <alignment vertical="center" wrapText="1"/>
    </xf>
    <xf numFmtId="0" fontId="4" fillId="2" borderId="0" xfId="0" applyFont="1" applyFill="1" applyAlignment="1">
      <alignment horizontal="center" vertical="center" wrapText="1"/>
    </xf>
    <xf numFmtId="0" fontId="0" fillId="0" borderId="0" xfId="0"/>
    <xf numFmtId="0" fontId="5" fillId="2" borderId="1" xfId="0" applyFont="1" applyFill="1" applyBorder="1"/>
    <xf numFmtId="0" fontId="5" fillId="3" borderId="1" xfId="0" applyFont="1" applyFill="1" applyBorder="1"/>
    <xf numFmtId="0" fontId="2" fillId="0" borderId="0" xfId="0" applyFont="1"/>
    <xf numFmtId="0" fontId="5" fillId="3" borderId="3" xfId="0" applyFont="1" applyFill="1" applyBorder="1"/>
    <xf numFmtId="0" fontId="5" fillId="3" borderId="4" xfId="0" applyFont="1" applyFill="1" applyBorder="1"/>
    <xf numFmtId="3" fontId="4" fillId="2" borderId="2" xfId="0" applyNumberFormat="1" applyFont="1" applyFill="1" applyBorder="1" applyAlignment="1">
      <alignment horizontal="center" vertical="center" wrapText="1"/>
    </xf>
    <xf numFmtId="0" fontId="5" fillId="3" borderId="2" xfId="0" applyFont="1" applyFill="1" applyBorder="1"/>
    <xf numFmtId="0" fontId="6" fillId="2" borderId="0" xfId="0" applyFont="1" applyFill="1" applyAlignment="1">
      <alignment horizontal="center" vertical="center"/>
    </xf>
    <xf numFmtId="0" fontId="4" fillId="2" borderId="2" xfId="0" applyFont="1" applyFill="1" applyBorder="1" applyAlignment="1">
      <alignment horizontal="center" vertical="center" wrapText="1"/>
    </xf>
  </cellXfs>
  <cellStyles count="1">
    <cellStyle name="Normal" xfId="0" builtinId="0"/>
  </cellStyles>
  <dxfs count="18">
    <dxf>
      <fill>
        <patternFill patternType="solid">
          <fgColor rgb="FFB7E1CD"/>
          <bgColor rgb="FFB7E1CD"/>
        </patternFill>
      </fill>
    </dxf>
    <dxf>
      <fill>
        <patternFill patternType="none"/>
      </fill>
    </dxf>
    <dxf>
      <fill>
        <patternFill patternType="solid">
          <fgColor rgb="FFB7E1CD"/>
          <bgColor rgb="FFB7E1CD"/>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F8F9FA"/>
          <bgColor rgb="FFF8F9FA"/>
        </patternFill>
      </fill>
    </dxf>
    <dxf>
      <fill>
        <patternFill patternType="solid">
          <fgColor rgb="FFFFFFFF"/>
          <bgColor rgb="FFFFFFFF"/>
        </patternFill>
      </fill>
    </dxf>
    <dxf>
      <fill>
        <patternFill patternType="solid">
          <fgColor rgb="FFB4C6E7"/>
          <bgColor rgb="FFB4C6E7"/>
        </patternFill>
      </fill>
    </dxf>
  </dxfs>
  <tableStyles count="7">
    <tableStyle name="Notes-style" pivot="0" count="3" xr9:uid="{00000000-0011-0000-FFFF-FFFF00000000}">
      <tableStyleElement type="headerRow" dxfId="17"/>
      <tableStyleElement type="firstRowStripe" dxfId="16"/>
      <tableStyleElement type="secondRowStripe" dxfId="15"/>
    </tableStyle>
    <tableStyle name="Deleted Researched Mining Sites-style" pivot="0" count="2" xr9:uid="{00000000-0011-0000-FFFF-FFFF01000000}">
      <tableStyleElement type="firstRowStripe" dxfId="14"/>
      <tableStyleElement type="secondRowStripe" dxfId="13"/>
    </tableStyle>
    <tableStyle name="Deleted Researched Mining Sites-style 2" pivot="0" count="2" xr9:uid="{00000000-0011-0000-FFFF-FFFF02000000}">
      <tableStyleElement type="firstRowStripe" dxfId="12"/>
      <tableStyleElement type="secondRowStripe" dxfId="11"/>
    </tableStyle>
    <tableStyle name="Deleted Researched Mining Sites-style 3" pivot="0" count="2" xr9:uid="{00000000-0011-0000-FFFF-FFFF03000000}">
      <tableStyleElement type="firstRowStripe" dxfId="10"/>
      <tableStyleElement type="secondRowStripe" dxfId="9"/>
    </tableStyle>
    <tableStyle name="Deleted Researched Mining Sites-style 4" pivot="0" count="2" xr9:uid="{00000000-0011-0000-FFFF-FFFF04000000}">
      <tableStyleElement type="firstRowStripe" dxfId="8"/>
      <tableStyleElement type="secondRowStripe" dxfId="7"/>
    </tableStyle>
    <tableStyle name="Notes for Deleted Researched Mi-style" pivot="0" count="2" xr9:uid="{00000000-0011-0000-FFFF-FFFF05000000}">
      <tableStyleElement type="firstRowStripe" dxfId="6"/>
      <tableStyleElement type="secondRowStripe" dxfId="5"/>
    </tableStyle>
    <tableStyle name="Notes for Deleted Researched Mi-style 2" pivot="0" count="2" xr9:uid="{00000000-0011-0000-FFFF-FFFF06000000}">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1" Type="http://customschemas.google.com/relationships/workbookmetadata" Target="metadata"/><Relationship Id="rId15" Type="http://schemas.microsoft.com/office/2022/11/relationships/FeaturePropertyBag" Target="featurePropertyBag/featurePropertyBag.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116">
  <tableColumns count="2">
    <tableColumn id="1" xr3:uid="{00000000-0010-0000-0000-000001000000}" name="Mine/Prospect"/>
    <tableColumn id="2" xr3:uid="{00000000-0010-0000-0000-000002000000}" name="Notes "/>
  </tableColumns>
  <tableStyleInfo name="No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jindaleelithium.com/" TargetMode="External"/><Relationship Id="rId117" Type="http://schemas.openxmlformats.org/officeDocument/2006/relationships/hyperlink" Target="https://gbml.ca/news-releases/global-battery-metals-to-exit-nickel-copper-exploration-program-at-sawyer-camp/" TargetMode="External"/><Relationship Id="rId21" Type="http://schemas.openxmlformats.org/officeDocument/2006/relationships/hyperlink" Target="https://www.ansonresources.com/green-river-lithium-project/" TargetMode="External"/><Relationship Id="rId42" Type="http://schemas.openxmlformats.org/officeDocument/2006/relationships/hyperlink" Target="https://nam12.safelinks.protection.outlook.com/?url=https%3A%2F%2Fwww.westernwatersheds.org%2Fwp-content%2Fuploads%2F2023%2F02%2FThacker-Pass-Court-Opinion-2-6-23.pdf&amp;data=05%7C02%7Cdy12%40iu.edu%7C58a32498e5064f8cd67708dd26e68c21%7C1113be34aed14d00ab4bcdd02510be91%7C0%7C0%7C638709493813046760%7CUnknown%7CTWFpbGZsb3d8eyJFbXB0eU1hcGkiOnRydWUsIlYiOiIwLjAuMDAwMCIsIlAiOiJXaW4zMiIsIkFOIjoiTWFpbCIsIldUIjoyfQ%3D%3D%7C0%7C%7C%7C&amp;sdata=M90V76Ck%2BHOoO9GrMrDH12EH8nEgTv9pa3cK7AOu6NU%3D&amp;reserved=0" TargetMode="External"/><Relationship Id="rId47" Type="http://schemas.openxmlformats.org/officeDocument/2006/relationships/hyperlink" Target="https://noramlithiumcorp.com/resource/clayton-valley/" TargetMode="External"/><Relationship Id="rId63" Type="http://schemas.openxmlformats.org/officeDocument/2006/relationships/hyperlink" Target="https://www.idaho-copper.com/idaho-copper-project/" TargetMode="External"/><Relationship Id="rId68" Type="http://schemas.openxmlformats.org/officeDocument/2006/relationships/hyperlink" Target="https://americanpacificmining.com/projects/madison-mine/" TargetMode="External"/><Relationship Id="rId84" Type="http://schemas.openxmlformats.org/officeDocument/2006/relationships/hyperlink" Target="https://www.fcx.com/" TargetMode="External"/><Relationship Id="rId89" Type="http://schemas.openxmlformats.org/officeDocument/2006/relationships/hyperlink" Target="https://www.idaho-copper.com/idaho-copper-corp-announces-official-name-and-symbol-change/" TargetMode="External"/><Relationship Id="rId112" Type="http://schemas.openxmlformats.org/officeDocument/2006/relationships/hyperlink" Target="https://www.newrangecoppernickel.com/" TargetMode="External"/><Relationship Id="rId16" Type="http://schemas.openxmlformats.org/officeDocument/2006/relationships/hyperlink" Target="https://canterresources.com/" TargetMode="External"/><Relationship Id="rId107" Type="http://schemas.openxmlformats.org/officeDocument/2006/relationships/hyperlink" Target="https://americanrareearths.com.au/projects/la-paz-rare-earth-project/" TargetMode="External"/><Relationship Id="rId11" Type="http://schemas.openxmlformats.org/officeDocument/2006/relationships/hyperlink" Target="https://www.reedylagoon.com.au/" TargetMode="External"/><Relationship Id="rId32" Type="http://schemas.openxmlformats.org/officeDocument/2006/relationships/hyperlink" Target="https://www.biologicaldiversity.org/species/plants/pdfs/Tiehms-buckwheat-federal-ruling-04-21-2021.pdf" TargetMode="External"/><Relationship Id="rId37" Type="http://schemas.openxmlformats.org/officeDocument/2006/relationships/hyperlink" Target="https://www.courthousenews.com/wp-content/uploads/2025/01/comite-civico-del-valle-v-county-of-imperial-tentative-decision.pdf" TargetMode="External"/><Relationship Id="rId53" Type="http://schemas.openxmlformats.org/officeDocument/2006/relationships/hyperlink" Target="https://blackbuttecopper.com/" TargetMode="External"/><Relationship Id="rId58" Type="http://schemas.openxmlformats.org/officeDocument/2006/relationships/hyperlink" Target="https://www.hudbayminerals.com/" TargetMode="External"/><Relationship Id="rId74" Type="http://schemas.openxmlformats.org/officeDocument/2006/relationships/hyperlink" Target="https://americanpacificmining.com/news-releases-2024/american-pacific-provides-update-on-drill-programs-at-its-madison-and-palmer-projects/" TargetMode="External"/><Relationship Id="rId79" Type="http://schemas.openxmlformats.org/officeDocument/2006/relationships/hyperlink" Target="https://eplanning.blm.gov/eplanning-ui/project/82268/510" TargetMode="External"/><Relationship Id="rId102" Type="http://schemas.openxmlformats.org/officeDocument/2006/relationships/hyperlink" Target="https://www.rareelementresources.com/company" TargetMode="External"/><Relationship Id="rId123" Type="http://schemas.openxmlformats.org/officeDocument/2006/relationships/hyperlink" Target="https://nsmanganese.com/" TargetMode="External"/><Relationship Id="rId5" Type="http://schemas.openxmlformats.org/officeDocument/2006/relationships/hyperlink" Target="https://irismetals.com/about-us/black-hills-south-dakota/" TargetMode="External"/><Relationship Id="rId90" Type="http://schemas.openxmlformats.org/officeDocument/2006/relationships/hyperlink" Target="https://nam12.safelinks.protection.outlook.com/?url=https%3A%2F%2Flaw.justia.com%2Fcases%2Ffederal%2Fdistrict-courts%2Fdistrict-of-columbia%2Fdcdce%2F1%3A2022cv02506%2F246541%2F62%2F&amp;data=05%7C02%7Cdy12%40iu.edu%7Ce1628d35d1384e9c6ff308dd26eec0fa%7C1113be34aed14d00ab4bcdd02510be91%7C0%7C0%7C638709529066489965%7CUnknown%7CTWFpbGZsb3d8eyJFbXB0eU1hcGkiOnRydWUsIlYiOiIwLjAuMDAwMCIsIlAiOiJXaW4zMiIsIkFOIjoiTWFpbCIsIldUIjoyfQ%3D%3D%7C0%7C%7C%7C&amp;sdata=TYMLmLW3N4Z9N9RKxOJE4C8IhFr7P5RpMLvLlj18vVI%3D&amp;reserved=0" TargetMode="External"/><Relationship Id="rId95" Type="http://schemas.openxmlformats.org/officeDocument/2006/relationships/hyperlink" Target="https://kobaresources.com/projects/cobalt/idaho-cobalt-belt-overview/elkhorn-project/" TargetMode="External"/><Relationship Id="rId22" Type="http://schemas.openxmlformats.org/officeDocument/2006/relationships/hyperlink" Target="https://www.albemarle.com/" TargetMode="External"/><Relationship Id="rId27" Type="http://schemas.openxmlformats.org/officeDocument/2006/relationships/hyperlink" Target="https://www.spearmintresources.ca/" TargetMode="External"/><Relationship Id="rId43" Type="http://schemas.openxmlformats.org/officeDocument/2006/relationships/hyperlink" Target="https://americanlithiumcorp.com/tlc-lithium-project/" TargetMode="External"/><Relationship Id="rId48" Type="http://schemas.openxmlformats.org/officeDocument/2006/relationships/hyperlink" Target="https://www.visithaines.com/listing/constantine-mining-llc/2109/" TargetMode="External"/><Relationship Id="rId64" Type="http://schemas.openxmlformats.org/officeDocument/2006/relationships/hyperlink" Target="https://nam12.safelinks.protection.outlook.com/?url=https%3A%2F%2Fcasetext.com%2Fcase%2Fidaho-conservation-league-v-us-forest-serv-1&amp;data=05%7C02%7Cdy12%40iu.edu%7C04c188a2587749b2306208dd251b9379%7C1113be34aed14d00ab4bcdd02510be91%7C0%7C0%7C638707522575309121%7CUnknown%7CTWFpbGZsb3d8eyJFbXB0eU1hcGkiOnRydWUsIlYiOiIwLjAuMDAwMCIsIlAiOiJXaW4zMiIsIkFOIjoiTWFpbCIsIldUIjoyfQ%3D%3D%7C0%7C%7C%7C&amp;sdata=fsEc7tT2gnZNYrknpwsnHtXiKxheG6iUqg%2FQBVHLXEM%3D&amp;reserved=0" TargetMode="External"/><Relationship Id="rId69" Type="http://schemas.openxmlformats.org/officeDocument/2006/relationships/hyperlink" Target="https://www.hudbayminerals.com/" TargetMode="External"/><Relationship Id="rId113" Type="http://schemas.openxmlformats.org/officeDocument/2006/relationships/hyperlink" Target="https://talonmetals.com/" TargetMode="External"/><Relationship Id="rId118" Type="http://schemas.openxmlformats.org/officeDocument/2006/relationships/hyperlink" Target="https://talonmetals.com/" TargetMode="External"/><Relationship Id="rId80" Type="http://schemas.openxmlformats.org/officeDocument/2006/relationships/hyperlink" Target="https://www.riotinto.com/" TargetMode="External"/><Relationship Id="rId85" Type="http://schemas.openxmlformats.org/officeDocument/2006/relationships/hyperlink" Target="https://www.fcx.com/" TargetMode="External"/><Relationship Id="rId12" Type="http://schemas.openxmlformats.org/officeDocument/2006/relationships/hyperlink" Target="https://www.riotinto.com/" TargetMode="External"/><Relationship Id="rId17" Type="http://schemas.openxmlformats.org/officeDocument/2006/relationships/hyperlink" Target="https://www.compassminerals.com/who-we-are/" TargetMode="External"/><Relationship Id="rId33" Type="http://schemas.openxmlformats.org/officeDocument/2006/relationships/hyperlink" Target="https://tmrcorp.com/projects/rare_earths/" TargetMode="External"/><Relationship Id="rId38" Type="http://schemas.openxmlformats.org/officeDocument/2006/relationships/hyperlink" Target="https://www.albemarle.com/" TargetMode="External"/><Relationship Id="rId59" Type="http://schemas.openxmlformats.org/officeDocument/2006/relationships/hyperlink" Target="https://nam12.safelinks.protection.outlook.com/?url=https%3A%2F%2Fcdn.ca9.uscourts.gov%2Fdatastore%2Fopinions%2F2022%2F05%2F12%2F19-17585.pdf&amp;data=05%7C02%7Cdy12%40iu.edu%7Cbe04d8a107f846f70fb308dd262e4359%7C1113be34aed14d00ab4bcdd02510be91%7C0%7C0%7C638708702332166959%7CUnknown%7CTWFpbGZsb3d8eyJFbXB0eU1hcGkiOnRydWUsIlYiOiIwLjAuMDAwMCIsIlAiOiJXaW4zMiIsIkFOIjoiTWFpbCIsIldUIjoyfQ%3D%3D%7C0%7C%7C%7C&amp;sdata=SBYBvqyKngSCcl7Nk7koLtcHMRnSlsvzNDwjbOwAtHE%3D&amp;reserved=0" TargetMode="External"/><Relationship Id="rId103" Type="http://schemas.openxmlformats.org/officeDocument/2006/relationships/hyperlink" Target="https://ramacoresources.com/" TargetMode="External"/><Relationship Id="rId108" Type="http://schemas.openxmlformats.org/officeDocument/2006/relationships/hyperlink" Target="https://mpmaterials.com/about/" TargetMode="External"/><Relationship Id="rId124" Type="http://schemas.openxmlformats.org/officeDocument/2006/relationships/hyperlink" Target="https://www.south32.net/what-we-do/our-locations/americas/hermosa" TargetMode="External"/><Relationship Id="rId54" Type="http://schemas.openxmlformats.org/officeDocument/2006/relationships/hyperlink" Target="https://nam12.safelinks.protection.outlook.com/?url=https%3A%2F%2Flaw.justia.com%2Fcases%2Fmontana%2Fsupreme-court%2F2024%2Fda-22-0406.html&amp;data=05%7C02%7Cshahalin%40iu.edu%7C50441e6a36574b17f2c208dd24a8049a%7C1113be34aed14d00ab4bcdd02510be91%7C0%7C0%7C638707026247336899%7CUnknown%7CTWFpbGZsb3d8eyJFbXB0eU1hcGkiOnRydWUsIlYiOiIwLjAuMDAwMCIsIlAiOiJXaW4zMiIsIkFOIjoiTWFpbCIsIldUIjoyfQ%3D%3D%7C0%7C%7C%7C&amp;sdata=lhRTbCob7qsyHYUJveng5IHm53FbsN3VX%2Bg0k%2BvtbO8%3D&amp;reserved=0" TargetMode="External"/><Relationship Id="rId70" Type="http://schemas.openxmlformats.org/officeDocument/2006/relationships/hyperlink" Target="https://www.fcx.com/" TargetMode="External"/><Relationship Id="rId75" Type="http://schemas.openxmlformats.org/officeDocument/2006/relationships/hyperlink" Target="https://northerndynastyminerals.com/pebble-project/project-overview/" TargetMode="External"/><Relationship Id="rId91" Type="http://schemas.openxmlformats.org/officeDocument/2006/relationships/hyperlink" Target="https://www.highlandcopper.com/projects/white-pine-north-project/" TargetMode="External"/><Relationship Id="rId96" Type="http://schemas.openxmlformats.org/officeDocument/2006/relationships/hyperlink" Target="https://kobaresources.com/projects/cobalt/idaho-cobalt-belt-overview/goodsprings-project/" TargetMode="External"/><Relationship Id="rId1" Type="http://schemas.openxmlformats.org/officeDocument/2006/relationships/hyperlink" Target="https://centurylithium.com/" TargetMode="External"/><Relationship Id="rId6" Type="http://schemas.openxmlformats.org/officeDocument/2006/relationships/hyperlink" Target="https://midwestlithium.com/south-dakota/" TargetMode="External"/><Relationship Id="rId23" Type="http://schemas.openxmlformats.org/officeDocument/2006/relationships/hyperlink" Target="https://www.rovercriticalminerals.com/nevada-lithium" TargetMode="External"/><Relationship Id="rId28" Type="http://schemas.openxmlformats.org/officeDocument/2006/relationships/hyperlink" Target="https://lithiumcorporation.com/wp-content/uploads/2024/07/Lithium-Corporation-Presentation-July-2024.pdf" TargetMode="External"/><Relationship Id="rId49" Type="http://schemas.openxmlformats.org/officeDocument/2006/relationships/hyperlink" Target="https://earthjustice.org/wp-content/uploads/2023/08/decision.pdf" TargetMode="External"/><Relationship Id="rId114" Type="http://schemas.openxmlformats.org/officeDocument/2006/relationships/hyperlink" Target="https://alaskaenergymetals.com/projects/nikolai/" TargetMode="External"/><Relationship Id="rId119" Type="http://schemas.openxmlformats.org/officeDocument/2006/relationships/hyperlink" Target="https://gbml.ca/news-releases/global-battery-metals-to-exit-nickel-copper-exploration-program-at-sawyer-camp/" TargetMode="External"/><Relationship Id="rId44" Type="http://schemas.openxmlformats.org/officeDocument/2006/relationships/hyperlink" Target="https://americanbatterytechnology.com/projects/tonopah-flats/" TargetMode="External"/><Relationship Id="rId60" Type="http://schemas.openxmlformats.org/officeDocument/2006/relationships/hyperlink" Target="https://www.highlandcopper.com/projects/copperwood-project/" TargetMode="External"/><Relationship Id="rId65" Type="http://schemas.openxmlformats.org/officeDocument/2006/relationships/hyperlink" Target="https://www.hecla.com/exploration" TargetMode="External"/><Relationship Id="rId81" Type="http://schemas.openxmlformats.org/officeDocument/2006/relationships/hyperlink" Target="https://nam12.safelinks.protection.outlook.com/?url=https%3A%2F%2Fcdn.ca9.uscourts.gov%2Fdatastore%2Fopinions%2F2024%2F03%2F01%2F21-15295.pdf&amp;data=05%7C02%7Cshahalin%40iu.edu%7Cec57a44f6f2a4882cbe508dd26243a59%7C1113be34aed14d00ab4bcdd02510be91%7C0%7C0%7C638708659214284295%7CUnknown%7CTWFpbGZsb3d8eyJFbXB0eU1hcGkiOnRydWUsIlYiOiIwLjAuMDAwMCIsIlAiOiJXaW4zMiIsIkFOIjoiTWFpbCIsIldUIjoyfQ%3D%3D%7C0%7C%7C%7C&amp;sdata=RFpkN%2BSrT%2FAxCMcxBTpFLPMllLBAeuvHpamrbpyNWjE%3D&amp;reserved=0" TargetMode="External"/><Relationship Id="rId86" Type="http://schemas.openxmlformats.org/officeDocument/2006/relationships/hyperlink" Target="https://www.asarco.com/mines/" TargetMode="External"/><Relationship Id="rId13" Type="http://schemas.openxmlformats.org/officeDocument/2006/relationships/hyperlink" Target="https://piedmontlithium.com/" TargetMode="External"/><Relationship Id="rId18" Type="http://schemas.openxmlformats.org/officeDocument/2006/relationships/hyperlink" Target="https://lithiumcorporation.com/wp-content/uploads/2024/07/Lithium-Corporation-Presentation-July-2024.pdf" TargetMode="External"/><Relationship Id="rId39" Type="http://schemas.openxmlformats.org/officeDocument/2006/relationships/hyperlink" Target="https://www.standardlithium.com/projects/arkansas-smackover" TargetMode="External"/><Relationship Id="rId109" Type="http://schemas.openxmlformats.org/officeDocument/2006/relationships/hyperlink" Target="https://uscriticalmaterials.com/sheep-creek/" TargetMode="External"/><Relationship Id="rId34" Type="http://schemas.openxmlformats.org/officeDocument/2006/relationships/hyperlink" Target="https://www.esminerals.com/" TargetMode="External"/><Relationship Id="rId50" Type="http://schemas.openxmlformats.org/officeDocument/2006/relationships/hyperlink" Target="https://www.amblermetals.com/" TargetMode="External"/><Relationship Id="rId55" Type="http://schemas.openxmlformats.org/officeDocument/2006/relationships/hyperlink" Target="https://arizonasonoran.com/" TargetMode="External"/><Relationship Id="rId76" Type="http://schemas.openxmlformats.org/officeDocument/2006/relationships/hyperlink" Target="https://www.wolfdenresources.com/" TargetMode="External"/><Relationship Id="rId97" Type="http://schemas.openxmlformats.org/officeDocument/2006/relationships/hyperlink" Target="https://jervoisglobal.com/projects/idaho-cobalt-operations/" TargetMode="External"/><Relationship Id="rId104" Type="http://schemas.openxmlformats.org/officeDocument/2006/relationships/hyperlink" Target="https://americanrareearths.com.au/projects/halleck-creek-wy/" TargetMode="External"/><Relationship Id="rId120" Type="http://schemas.openxmlformats.org/officeDocument/2006/relationships/hyperlink" Target="https://www.southstarbatterymetals.com/ceylon-graphite-project/" TargetMode="External"/><Relationship Id="rId125" Type="http://schemas.openxmlformats.org/officeDocument/2006/relationships/hyperlink" Target="https://nam12.safelinks.protection.outlook.com/?url=https%3A%2F%2Fcdn.ca9.uscourts.gov%2Fdatastore%2Fmemoranda%2F2024%2F05%2F15%2F23-16167.pdf&amp;data=05%7C02%7Cdy12%40iu.edu%7C28a87f5814ce4f0e376508dd25145e2d%7C1113be34aed14d00ab4bcdd02510be91%7C0%7C0%7C638707491587346421%7CUnknown%7CTWFpbGZsb3d8eyJFbXB0eU1hcGkiOnRydWUsIlYiOiIwLjAuMDAwMCIsIlAiOiJXaW4zMiIsIkFOIjoiTWFpbCIsIldUIjoyfQ%3D%3D%7C0%7C%7C%7C&amp;sdata=du73v%2BwM5th9x%2FCItqeTwvx2N5Kog%2FZvFu8GnAmPXv0%3D&amp;reserved=0" TargetMode="External"/><Relationship Id="rId7" Type="http://schemas.openxmlformats.org/officeDocument/2006/relationships/hyperlink" Target="https://www.patriotresources.com.au/projects/black-hills-lithium-project/" TargetMode="External"/><Relationship Id="rId71" Type="http://schemas.openxmlformats.org/officeDocument/2006/relationships/hyperlink" Target="https://www.asarco.com/mines/" TargetMode="External"/><Relationship Id="rId92" Type="http://schemas.openxmlformats.org/officeDocument/2006/relationships/hyperlink" Target="https://kobaresources.com/" TargetMode="External"/><Relationship Id="rId2" Type="http://schemas.openxmlformats.org/officeDocument/2006/relationships/hyperlink" Target="https://www.braddaheadltd.com/projects/basin" TargetMode="External"/><Relationship Id="rId29" Type="http://schemas.openxmlformats.org/officeDocument/2006/relationships/hyperlink" Target="https://igglobalgroup.com/" TargetMode="External"/><Relationship Id="rId24" Type="http://schemas.openxmlformats.org/officeDocument/2006/relationships/hyperlink" Target="https://lilacsolutions.com/" TargetMode="External"/><Relationship Id="rId40" Type="http://schemas.openxmlformats.org/officeDocument/2006/relationships/hyperlink" Target="https://galvanicenergy.com/" TargetMode="External"/><Relationship Id="rId45" Type="http://schemas.openxmlformats.org/officeDocument/2006/relationships/hyperlink" Target="https://www.mandrakeresources.com.au/project/utah-lithium-project/" TargetMode="External"/><Relationship Id="rId66" Type="http://schemas.openxmlformats.org/officeDocument/2006/relationships/hyperlink" Target="https://nam12.safelinks.protection.outlook.com/?url=https%3A%2F%2Fearthjustice.org%2Fwp-content%2Fuploads%2Fopinion_-_published_0.pdf&amp;data=05%7C02%7Cdy12%40iu.edu%7C9bbcd270a089452c899408dd2536a03d%7C1113be34aed14d00ab4bcdd02510be91%7C0%7C0%7C638707638716997715%7CUnknown%7CTWFpbGZsb3d8eyJFbXB0eU1hcGkiOnRydWUsIlYiOiIwLjAuMDAwMCIsIlAiOiJXaW4zMiIsIkFOIjoiTWFpbCIsIldUIjoyfQ%3D%3D%7C0%7C%7C%7C&amp;sdata=X98UKBaUPHx%2BHnpJpAJ1qF91tnNau3vu571CBwRg3rU%3D&amp;reserved=0" TargetMode="External"/><Relationship Id="rId87" Type="http://schemas.openxmlformats.org/officeDocument/2006/relationships/hyperlink" Target="https://barksdaleresources.com/projects/arizona-project/99-sunnyside.html" TargetMode="External"/><Relationship Id="rId110" Type="http://schemas.openxmlformats.org/officeDocument/2006/relationships/hyperlink" Target="https://www.eaglemine.com/" TargetMode="External"/><Relationship Id="rId115" Type="http://schemas.openxmlformats.org/officeDocument/2006/relationships/hyperlink" Target="https://www.newrangecoppernickel.com/" TargetMode="External"/><Relationship Id="rId61" Type="http://schemas.openxmlformats.org/officeDocument/2006/relationships/hyperlink" Target="https://www.south32.net/what-we-do/our-locations/americas/hermosa/permitting-public-consultation" TargetMode="External"/><Relationship Id="rId82" Type="http://schemas.openxmlformats.org/officeDocument/2006/relationships/hyperlink" Target="https://www.hecla.com/exploration" TargetMode="External"/><Relationship Id="rId19" Type="http://schemas.openxmlformats.org/officeDocument/2006/relationships/hyperlink" Target="https://5eadvancedmaterials.com/" TargetMode="External"/><Relationship Id="rId14" Type="http://schemas.openxmlformats.org/officeDocument/2006/relationships/hyperlink" Target="https://acmelithium.com/project-cc-ccp-sx/" TargetMode="External"/><Relationship Id="rId30" Type="http://schemas.openxmlformats.org/officeDocument/2006/relationships/hyperlink" Target="https://www.ansonresources.com/" TargetMode="External"/><Relationship Id="rId35" Type="http://schemas.openxmlformats.org/officeDocument/2006/relationships/hyperlink" Target="https://www.bherenewables.com/" TargetMode="External"/><Relationship Id="rId56" Type="http://schemas.openxmlformats.org/officeDocument/2006/relationships/hyperlink" Target="https://www.usgoldcorp.gold/" TargetMode="External"/><Relationship Id="rId77" Type="http://schemas.openxmlformats.org/officeDocument/2006/relationships/hyperlink" Target="https://capstonecopper.com/about-us/leadership/" TargetMode="External"/><Relationship Id="rId100" Type="http://schemas.openxmlformats.org/officeDocument/2006/relationships/hyperlink" Target="https://www.usstrategicmetals.com/" TargetMode="External"/><Relationship Id="rId105" Type="http://schemas.openxmlformats.org/officeDocument/2006/relationships/hyperlink" Target="https://idahostrategic.com/ree-overview/" TargetMode="External"/><Relationship Id="rId8" Type="http://schemas.openxmlformats.org/officeDocument/2006/relationships/hyperlink" Target="https://unitedlithium.com/united-lithium-corp-establishes-dominant-land-position-in-historical-lithium-pegmatite-production-area-near-custer-south-dakota/" TargetMode="External"/><Relationship Id="rId51" Type="http://schemas.openxmlformats.org/officeDocument/2006/relationships/hyperlink" Target="https://www.fcx.com/" TargetMode="External"/><Relationship Id="rId72" Type="http://schemas.openxmlformats.org/officeDocument/2006/relationships/hyperlink" Target="https://uscoppercorp.com/" TargetMode="External"/><Relationship Id="rId93" Type="http://schemas.openxmlformats.org/officeDocument/2006/relationships/hyperlink" Target="https://bmrcorp.com/" TargetMode="External"/><Relationship Id="rId98" Type="http://schemas.openxmlformats.org/officeDocument/2006/relationships/hyperlink" Target="https://www.champem.com/" TargetMode="External"/><Relationship Id="rId121" Type="http://schemas.openxmlformats.org/officeDocument/2006/relationships/hyperlink" Target="https://westwaterresources.net/projects/graphite/coosa-graphite-project/" TargetMode="External"/><Relationship Id="rId3" Type="http://schemas.openxmlformats.org/officeDocument/2006/relationships/hyperlink" Target="https://www.hawkstonemining.com/big-sandy-lithium/" TargetMode="External"/><Relationship Id="rId25" Type="http://schemas.openxmlformats.org/officeDocument/2006/relationships/hyperlink" Target="https://gbml.ca/projects/lithium-king/" TargetMode="External"/><Relationship Id="rId46" Type="http://schemas.openxmlformats.org/officeDocument/2006/relationships/hyperlink" Target="https://acmelithium.com/" TargetMode="External"/><Relationship Id="rId67" Type="http://schemas.openxmlformats.org/officeDocument/2006/relationships/hyperlink" Target="https://lisbonmine.com/" TargetMode="External"/><Relationship Id="rId116" Type="http://schemas.openxmlformats.org/officeDocument/2006/relationships/hyperlink" Target="https://nam12.safelinks.protection.outlook.com/?url=https%3A%2F%2Fwaterlegacy.org%2Fwp-content%2Fuploads%2F2023%2F08%2F2023-08-02-MN-S-Ct-Opinion-MPCA-PolyMet-NPDES-Published.pdf&amp;data=05%7C02%7Cshahalin%40iu.edu%7Cd64be31efca144a9b7f308dd261a9fb4%7C1113be34aed14d00ab4bcdd02510be91%7C0%7C0%7C638708617976441665%7CUnknown%7CTWFpbGZsb3d8eyJFbXB0eU1hcGkiOnRydWUsIlYiOiIwLjAuMDAwMCIsIlAiOiJXaW4zMiIsIkFOIjoiTWFpbCIsIldUIjoyfQ%3D%3D%7C0%7C%7C%7C&amp;sdata=eJB6QazzVy6mRtoJYS5rjbKaY%2F9y3Zlko%2B33ww40q%2FI%3D&amp;reserved=0" TargetMode="External"/><Relationship Id="rId20" Type="http://schemas.openxmlformats.org/officeDocument/2006/relationships/hyperlink" Target="https://acmineralscorp.com/" TargetMode="External"/><Relationship Id="rId41" Type="http://schemas.openxmlformats.org/officeDocument/2006/relationships/hyperlink" Target="https://www.lithiumamericas.com/" TargetMode="External"/><Relationship Id="rId62" Type="http://schemas.openxmlformats.org/officeDocument/2006/relationships/hyperlink" Target="https://cases.justia.com/federal/district-courts/arizona/azdce/4:2023cv00280/1337890/48/0.pdf?ts=1694024903" TargetMode="External"/><Relationship Id="rId83" Type="http://schemas.openxmlformats.org/officeDocument/2006/relationships/hyperlink" Target="https://nam12.safelinks.protection.outlook.com/?url=https%3A%2F%2Flaw.justia.com%2Fcases%2Fmontana%2Fsupreme-court%2F2021%2Fda-19-0484.html&amp;data=05%7C02%7Cdy12%40iu.edu%7Ccb505b44b8884e65a1d208dd262ca5eb%7C1113be34aed14d00ab4bcdd02510be91%7C0%7C0%7C638708695391169244%7CUnknown%7CTWFpbGZsb3d8eyJFbXB0eU1hcGkiOnRydWUsIlYiOiIwLjAuMDAwMCIsIlAiOiJXaW4zMiIsIkFOIjoiTWFpbCIsIldUIjoyfQ%3D%3D%7C0%7C%7C%7C&amp;sdata=v1wAx%2BP8YOjeAWW5KPIHGByi6fitb49I9B4L0LFxUjI%3D&amp;reserved=0" TargetMode="External"/><Relationship Id="rId88" Type="http://schemas.openxmlformats.org/officeDocument/2006/relationships/hyperlink" Target="https://nam12.safelinks.protection.outlook.com/?url=https%3A%2F%2Fwww.patagoniaalliance.org%2Fwp-content%2Fuploads%2F2015%2F09%2FSunnyside-Judgment-91515.pdf&amp;data=05%7C02%7Cdy12%40iu.edu%7C3b1c23cca0334f1ba8bc08dd26dfe8d9%7C1113be34aed14d00ab4bcdd02510be91%7C0%7C0%7C638709465321840531%7CUnknown%7CTWFpbGZsb3d8eyJFbXB0eU1hcGkiOnRydWUsIlYiOiIwLjAuMDAwMCIsIlAiOiJXaW4zMiIsIkFOIjoiTWFpbCIsIldUIjoyfQ%3D%3D%7C0%7C%7C%7C&amp;sdata=rkAvCuP2b4OuNF1aNQwP5zv553xT3l%2ByqJxbGuCZEnI%3D&amp;reserved=0" TargetMode="External"/><Relationship Id="rId111" Type="http://schemas.openxmlformats.org/officeDocument/2006/relationships/hyperlink" Target="http://www.keweenawreport.com/wp-content/uploads/2014/08/Mining-Permit-Decision-Court-of-Appeals-2014-08-13.pdf." TargetMode="External"/><Relationship Id="rId15" Type="http://schemas.openxmlformats.org/officeDocument/2006/relationships/hyperlink" Target="https://pureenergyminerals.com/projects1/clayton-valley-project/" TargetMode="External"/><Relationship Id="rId36" Type="http://schemas.openxmlformats.org/officeDocument/2006/relationships/hyperlink" Target="https://www.cthermal.com/" TargetMode="External"/><Relationship Id="rId57" Type="http://schemas.openxmlformats.org/officeDocument/2006/relationships/hyperlink" Target="https://faradaycopper.com/" TargetMode="External"/><Relationship Id="rId106" Type="http://schemas.openxmlformats.org/officeDocument/2006/relationships/hyperlink" Target="https://www.niocorp.com/elk-creek-project/" TargetMode="External"/><Relationship Id="rId10" Type="http://schemas.openxmlformats.org/officeDocument/2006/relationships/hyperlink" Target="https://nevadalithium.com/" TargetMode="External"/><Relationship Id="rId31" Type="http://schemas.openxmlformats.org/officeDocument/2006/relationships/hyperlink" Target="https://rhyolite-ridge.ioneer/" TargetMode="External"/><Relationship Id="rId52" Type="http://schemas.openxmlformats.org/officeDocument/2006/relationships/hyperlink" Target="https://www.riotinto.com/en/Operations/us/kennecott" TargetMode="External"/><Relationship Id="rId73" Type="http://schemas.openxmlformats.org/officeDocument/2006/relationships/hyperlink" Target="https://www.fcx.com/operations/north-america" TargetMode="External"/><Relationship Id="rId78" Type="http://schemas.openxmlformats.org/officeDocument/2006/relationships/hyperlink" Target="https://www.asarco.com/mines/" TargetMode="External"/><Relationship Id="rId94" Type="http://schemas.openxmlformats.org/officeDocument/2006/relationships/hyperlink" Target="https://kobaresources.com/" TargetMode="External"/><Relationship Id="rId99" Type="http://schemas.openxmlformats.org/officeDocument/2006/relationships/hyperlink" Target="https://electrabmc.com/about-us/" TargetMode="External"/><Relationship Id="rId101" Type="http://schemas.openxmlformats.org/officeDocument/2006/relationships/hyperlink" Target="https://kobaresources.com/projects/cobalt/idaho-cobalt-belt-overview/panther-project/" TargetMode="External"/><Relationship Id="rId122" Type="http://schemas.openxmlformats.org/officeDocument/2006/relationships/hyperlink" Target="https://www.graphiteoneinc.com/" TargetMode="External"/><Relationship Id="rId4" Type="http://schemas.openxmlformats.org/officeDocument/2006/relationships/hyperlink" Target="https://earthjustice.org/wp-content/uploads/2024/11/81-order-granting-pi.pdf" TargetMode="External"/><Relationship Id="rId9" Type="http://schemas.openxmlformats.org/officeDocument/2006/relationships/hyperlink" Target="https://www.siennaresourcesinc.com/2024/09/clayton-valley-lithium-updat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AQ1055"/>
  <sheetViews>
    <sheetView showGridLines="0" tabSelected="1" workbookViewId="0">
      <pane xSplit="2" ySplit="4" topLeftCell="C5" activePane="bottomRight" state="frozen"/>
      <selection pane="topRight" activeCell="C1" sqref="C1"/>
      <selection pane="bottomLeft" activeCell="A5" sqref="A5"/>
      <selection pane="bottomRight" activeCell="AL2" sqref="AL2:AQ3"/>
    </sheetView>
  </sheetViews>
  <sheetFormatPr baseColWidth="10" defaultColWidth="14.5" defaultRowHeight="15" customHeight="1"/>
  <cols>
    <col min="1" max="1" width="13.33203125" customWidth="1"/>
    <col min="2" max="2" width="32.5" customWidth="1"/>
    <col min="3" max="8" width="26" customWidth="1"/>
    <col min="9" max="9" width="44" customWidth="1"/>
    <col min="10" max="11" width="19.5" customWidth="1"/>
    <col min="12" max="12" width="24.6640625" customWidth="1"/>
    <col min="13" max="13" width="16.6640625" customWidth="1"/>
    <col min="14" max="14" width="18.1640625" customWidth="1"/>
    <col min="15" max="15" width="26.5" customWidth="1"/>
    <col min="16" max="16" width="29.33203125" customWidth="1"/>
    <col min="17" max="17" width="32.83203125" customWidth="1"/>
    <col min="18" max="18" width="24.5" customWidth="1"/>
    <col min="19" max="19" width="41.5" customWidth="1"/>
    <col min="20" max="20" width="36" customWidth="1"/>
    <col min="21" max="21" width="24.6640625" customWidth="1"/>
    <col min="22" max="22" width="30.83203125" customWidth="1"/>
    <col min="23" max="23" width="19.6640625" customWidth="1"/>
    <col min="24" max="24" width="20.83203125" customWidth="1"/>
    <col min="25" max="25" width="24.5" customWidth="1"/>
    <col min="26" max="26" width="33.5" customWidth="1"/>
    <col min="27" max="27" width="23.5" customWidth="1"/>
    <col min="28" max="28" width="16.33203125" customWidth="1"/>
    <col min="29" max="29" width="21.5" customWidth="1"/>
    <col min="30" max="30" width="15.5" customWidth="1"/>
    <col min="31" max="31" width="13.83203125" customWidth="1"/>
    <col min="32" max="32" width="12" customWidth="1"/>
    <col min="33" max="33" width="34.5" customWidth="1"/>
    <col min="34" max="34" width="34" customWidth="1"/>
    <col min="35" max="35" width="24.33203125" customWidth="1"/>
    <col min="36" max="36" width="26.5" customWidth="1"/>
    <col min="37" max="37" width="14.6640625" customWidth="1"/>
    <col min="38" max="38" width="27.6640625" customWidth="1"/>
    <col min="39" max="40" width="26.5" customWidth="1"/>
    <col min="41" max="41" width="27.6640625" customWidth="1"/>
    <col min="42" max="43" width="26.5" customWidth="1"/>
  </cols>
  <sheetData>
    <row r="1" spans="1:43" ht="34.5" customHeight="1">
      <c r="A1" s="1"/>
      <c r="B1" s="1"/>
      <c r="C1" s="1"/>
      <c r="D1" s="1"/>
      <c r="E1" s="1"/>
      <c r="F1" s="1"/>
      <c r="G1" s="1"/>
      <c r="H1" s="1"/>
      <c r="I1" s="1"/>
      <c r="J1" s="1"/>
      <c r="K1" s="1"/>
      <c r="L1" s="1"/>
      <c r="M1" s="2"/>
      <c r="N1" s="2"/>
      <c r="O1" s="1"/>
      <c r="P1" s="1"/>
      <c r="Q1" s="1"/>
      <c r="R1" s="1"/>
      <c r="S1" s="1"/>
      <c r="T1" s="1"/>
      <c r="U1" s="1"/>
      <c r="V1" s="1"/>
      <c r="W1" s="3"/>
      <c r="X1" s="1"/>
      <c r="Y1" s="1"/>
      <c r="Z1" s="1"/>
      <c r="AA1" s="4"/>
      <c r="AB1" s="1"/>
      <c r="AC1" s="1"/>
      <c r="AD1" s="4"/>
      <c r="AE1" s="4"/>
      <c r="AF1" s="4"/>
      <c r="AG1" s="4"/>
      <c r="AH1" s="1"/>
      <c r="AI1" s="4"/>
      <c r="AJ1" s="4"/>
      <c r="AK1" s="4"/>
      <c r="AL1" s="160"/>
      <c r="AM1" s="157"/>
      <c r="AN1" s="157"/>
      <c r="AO1" s="157"/>
      <c r="AP1" s="157"/>
      <c r="AQ1" s="157"/>
    </row>
    <row r="2" spans="1:43">
      <c r="A2" s="156" t="s">
        <v>0</v>
      </c>
      <c r="B2" s="157"/>
      <c r="C2" s="156" t="s">
        <v>0</v>
      </c>
      <c r="D2" s="157"/>
      <c r="E2" s="157"/>
      <c r="F2" s="157"/>
      <c r="G2" s="158"/>
      <c r="H2" s="156" t="s">
        <v>1</v>
      </c>
      <c r="I2" s="157"/>
      <c r="J2" s="157"/>
      <c r="K2" s="157"/>
      <c r="L2" s="157"/>
      <c r="M2" s="157"/>
      <c r="N2" s="157"/>
      <c r="O2" s="157"/>
      <c r="P2" s="158"/>
      <c r="Q2" s="156" t="s">
        <v>2</v>
      </c>
      <c r="R2" s="157"/>
      <c r="S2" s="157"/>
      <c r="T2" s="157"/>
      <c r="U2" s="157"/>
      <c r="V2" s="158"/>
      <c r="W2" s="163" t="s">
        <v>3</v>
      </c>
      <c r="X2" s="157"/>
      <c r="Y2" s="157"/>
      <c r="Z2" s="157"/>
      <c r="AA2" s="158"/>
      <c r="AB2" s="156" t="s">
        <v>4</v>
      </c>
      <c r="AC2" s="157"/>
      <c r="AD2" s="157"/>
      <c r="AE2" s="157"/>
      <c r="AF2" s="157"/>
      <c r="AG2" s="157"/>
      <c r="AH2" s="158"/>
      <c r="AI2" s="166" t="s">
        <v>5</v>
      </c>
      <c r="AJ2" s="157"/>
      <c r="AK2" s="158"/>
      <c r="AL2" s="165" t="s">
        <v>6</v>
      </c>
      <c r="AM2" s="157"/>
      <c r="AN2" s="157"/>
      <c r="AO2" s="157"/>
      <c r="AP2" s="157"/>
      <c r="AQ2" s="158"/>
    </row>
    <row r="3" spans="1:43">
      <c r="A3" s="157"/>
      <c r="B3" s="157"/>
      <c r="C3" s="157"/>
      <c r="D3" s="157"/>
      <c r="E3" s="157"/>
      <c r="F3" s="157"/>
      <c r="G3" s="159"/>
      <c r="H3" s="161"/>
      <c r="I3" s="161"/>
      <c r="J3" s="161"/>
      <c r="K3" s="161"/>
      <c r="L3" s="161"/>
      <c r="M3" s="161"/>
      <c r="N3" s="161"/>
      <c r="O3" s="161"/>
      <c r="P3" s="162"/>
      <c r="Q3" s="157"/>
      <c r="R3" s="157"/>
      <c r="S3" s="157"/>
      <c r="T3" s="157"/>
      <c r="U3" s="157"/>
      <c r="V3" s="159"/>
      <c r="W3" s="164"/>
      <c r="X3" s="157"/>
      <c r="Y3" s="157"/>
      <c r="Z3" s="157"/>
      <c r="AA3" s="159"/>
      <c r="AB3" s="157"/>
      <c r="AC3" s="157"/>
      <c r="AD3" s="157"/>
      <c r="AE3" s="157"/>
      <c r="AF3" s="157"/>
      <c r="AG3" s="157"/>
      <c r="AH3" s="159"/>
      <c r="AI3" s="164"/>
      <c r="AJ3" s="157"/>
      <c r="AK3" s="159"/>
      <c r="AL3" s="157"/>
      <c r="AM3" s="157"/>
      <c r="AN3" s="157"/>
      <c r="AO3" s="157"/>
      <c r="AP3" s="157"/>
      <c r="AQ3" s="159"/>
    </row>
    <row r="4" spans="1:43" ht="101">
      <c r="A4" s="5" t="s">
        <v>7</v>
      </c>
      <c r="B4" s="6" t="s">
        <v>8</v>
      </c>
      <c r="C4" s="7" t="s">
        <v>9</v>
      </c>
      <c r="D4" s="8" t="s">
        <v>10</v>
      </c>
      <c r="E4" s="9" t="s">
        <v>11</v>
      </c>
      <c r="F4" s="10" t="s">
        <v>12</v>
      </c>
      <c r="G4" s="11" t="s">
        <v>13</v>
      </c>
      <c r="H4" s="12" t="s">
        <v>14</v>
      </c>
      <c r="I4" s="13" t="s">
        <v>15</v>
      </c>
      <c r="J4" s="14" t="s">
        <v>16</v>
      </c>
      <c r="K4" s="14" t="s">
        <v>17</v>
      </c>
      <c r="L4" s="13" t="s">
        <v>18</v>
      </c>
      <c r="M4" s="13" t="s">
        <v>19</v>
      </c>
      <c r="N4" s="14" t="s">
        <v>20</v>
      </c>
      <c r="O4" s="13" t="s">
        <v>21</v>
      </c>
      <c r="P4" s="15" t="s">
        <v>22</v>
      </c>
      <c r="Q4" s="16" t="s">
        <v>23</v>
      </c>
      <c r="R4" s="14" t="s">
        <v>24</v>
      </c>
      <c r="S4" s="13" t="s">
        <v>25</v>
      </c>
      <c r="T4" s="14" t="s">
        <v>26</v>
      </c>
      <c r="U4" s="13" t="s">
        <v>27</v>
      </c>
      <c r="V4" s="17" t="s">
        <v>28</v>
      </c>
      <c r="W4" s="18" t="s">
        <v>29</v>
      </c>
      <c r="X4" s="19" t="s">
        <v>30</v>
      </c>
      <c r="Y4" s="19" t="s">
        <v>31</v>
      </c>
      <c r="Z4" s="19" t="s">
        <v>32</v>
      </c>
      <c r="AA4" s="20" t="s">
        <v>33</v>
      </c>
      <c r="AB4" s="19" t="s">
        <v>34</v>
      </c>
      <c r="AC4" s="19" t="s">
        <v>35</v>
      </c>
      <c r="AD4" s="19" t="s">
        <v>36</v>
      </c>
      <c r="AE4" s="19" t="s">
        <v>37</v>
      </c>
      <c r="AF4" s="19" t="s">
        <v>38</v>
      </c>
      <c r="AG4" s="19" t="s">
        <v>39</v>
      </c>
      <c r="AH4" s="21" t="s">
        <v>40</v>
      </c>
      <c r="AI4" s="22" t="s">
        <v>41</v>
      </c>
      <c r="AJ4" s="19" t="s">
        <v>42</v>
      </c>
      <c r="AK4" s="20" t="s">
        <v>43</v>
      </c>
      <c r="AL4" s="19" t="s">
        <v>45</v>
      </c>
      <c r="AM4" s="19" t="s">
        <v>46</v>
      </c>
      <c r="AN4" s="19" t="s">
        <v>47</v>
      </c>
      <c r="AO4" s="19" t="s">
        <v>48</v>
      </c>
      <c r="AP4" s="19" t="s">
        <v>49</v>
      </c>
      <c r="AQ4" s="20" t="s">
        <v>50</v>
      </c>
    </row>
    <row r="5" spans="1:43" ht="15.75" customHeight="1">
      <c r="A5" s="23" t="s">
        <v>51</v>
      </c>
      <c r="B5" s="24" t="s">
        <v>52</v>
      </c>
      <c r="C5" s="25" t="s">
        <v>53</v>
      </c>
      <c r="D5" s="26"/>
      <c r="E5" s="26" t="s">
        <v>54</v>
      </c>
      <c r="F5" s="24" t="s">
        <v>55</v>
      </c>
      <c r="G5" s="27" t="s">
        <v>56</v>
      </c>
      <c r="H5" s="26" t="s">
        <v>57</v>
      </c>
      <c r="I5" s="26" t="s">
        <v>58</v>
      </c>
      <c r="J5" s="26">
        <v>37.755278300000001</v>
      </c>
      <c r="K5" s="26">
        <v>-117.63417699999999</v>
      </c>
      <c r="L5" s="26" t="s">
        <v>59</v>
      </c>
      <c r="M5" s="28">
        <v>213</v>
      </c>
      <c r="N5" s="144" t="b">
        <v>1</v>
      </c>
      <c r="O5" s="26" t="s">
        <v>60</v>
      </c>
      <c r="P5" s="30" t="s">
        <v>61</v>
      </c>
      <c r="Q5" s="24" t="s">
        <v>62</v>
      </c>
      <c r="R5" s="26" t="s">
        <v>63</v>
      </c>
      <c r="S5" s="31" t="s">
        <v>64</v>
      </c>
      <c r="T5" s="26"/>
      <c r="U5" s="26"/>
      <c r="V5" s="146" t="b">
        <v>0</v>
      </c>
      <c r="W5" s="33">
        <v>27</v>
      </c>
      <c r="X5" s="34">
        <v>40</v>
      </c>
      <c r="Y5" s="148" t="b">
        <v>1</v>
      </c>
      <c r="Z5" s="144" t="b">
        <v>1</v>
      </c>
      <c r="AA5" s="32" t="s">
        <v>65</v>
      </c>
      <c r="AB5" s="26"/>
      <c r="AC5" s="26"/>
      <c r="AD5" s="35"/>
      <c r="AE5" s="35"/>
      <c r="AF5" s="35"/>
      <c r="AG5" s="35"/>
      <c r="AH5" s="146" t="b">
        <v>0</v>
      </c>
      <c r="AI5" s="29" t="s">
        <v>66</v>
      </c>
      <c r="AJ5" s="35" t="s">
        <v>67</v>
      </c>
      <c r="AK5" s="32"/>
      <c r="AL5" s="148" t="b">
        <v>0</v>
      </c>
      <c r="AM5" s="35"/>
      <c r="AN5" s="35"/>
      <c r="AO5" s="148" t="b">
        <v>0</v>
      </c>
      <c r="AP5" s="35"/>
      <c r="AQ5" s="32"/>
    </row>
    <row r="6" spans="1:43" ht="15.75" customHeight="1">
      <c r="A6" s="37" t="s">
        <v>51</v>
      </c>
      <c r="B6" s="38" t="s">
        <v>68</v>
      </c>
      <c r="C6" s="39" t="s">
        <v>69</v>
      </c>
      <c r="D6" s="38"/>
      <c r="E6" s="38" t="s">
        <v>54</v>
      </c>
      <c r="F6" s="24" t="s">
        <v>55</v>
      </c>
      <c r="G6" s="40" t="s">
        <v>70</v>
      </c>
      <c r="H6" s="38" t="s">
        <v>71</v>
      </c>
      <c r="I6" s="38" t="s">
        <v>72</v>
      </c>
      <c r="J6" s="38">
        <v>34.577739999999999</v>
      </c>
      <c r="K6" s="38">
        <v>-113.1742845</v>
      </c>
      <c r="L6" s="41" t="s">
        <v>73</v>
      </c>
      <c r="M6" s="42">
        <v>2661</v>
      </c>
      <c r="N6" s="144" t="b">
        <v>1</v>
      </c>
      <c r="O6" s="38" t="s">
        <v>74</v>
      </c>
      <c r="P6" s="43" t="s">
        <v>65</v>
      </c>
      <c r="Q6" s="44" t="s">
        <v>75</v>
      </c>
      <c r="R6" s="38" t="s">
        <v>76</v>
      </c>
      <c r="S6" s="45" t="s">
        <v>77</v>
      </c>
      <c r="T6" s="38"/>
      <c r="U6" s="38"/>
      <c r="V6" s="145" t="b">
        <v>0</v>
      </c>
      <c r="W6" s="47"/>
      <c r="X6" s="48"/>
      <c r="Y6" s="149" t="b">
        <v>0</v>
      </c>
      <c r="Z6" s="149" t="b">
        <v>0</v>
      </c>
      <c r="AA6" s="46" t="s">
        <v>65</v>
      </c>
      <c r="AB6" s="38"/>
      <c r="AC6" s="38"/>
      <c r="AD6" s="49"/>
      <c r="AE6" s="49"/>
      <c r="AF6" s="49"/>
      <c r="AG6" s="49"/>
      <c r="AH6" s="145" t="b">
        <v>0</v>
      </c>
      <c r="AI6" s="49" t="s">
        <v>66</v>
      </c>
      <c r="AJ6" s="49" t="s">
        <v>78</v>
      </c>
      <c r="AK6" s="46"/>
      <c r="AL6" s="149" t="b">
        <v>0</v>
      </c>
      <c r="AM6" s="49"/>
      <c r="AN6" s="49"/>
      <c r="AO6" s="149" t="b">
        <v>0</v>
      </c>
      <c r="AP6" s="49"/>
      <c r="AQ6" s="46"/>
    </row>
    <row r="7" spans="1:43" ht="15.75" customHeight="1">
      <c r="A7" s="50" t="s">
        <v>51</v>
      </c>
      <c r="B7" s="51" t="s">
        <v>79</v>
      </c>
      <c r="C7" s="52" t="s">
        <v>53</v>
      </c>
      <c r="D7" s="26"/>
      <c r="E7" s="26" t="s">
        <v>54</v>
      </c>
      <c r="F7" s="24" t="s">
        <v>80</v>
      </c>
      <c r="G7" s="27" t="s">
        <v>56</v>
      </c>
      <c r="H7" s="51" t="s">
        <v>71</v>
      </c>
      <c r="I7" s="51" t="s">
        <v>81</v>
      </c>
      <c r="J7" s="26">
        <v>34.703346199999999</v>
      </c>
      <c r="K7" s="26">
        <v>-113.6113242</v>
      </c>
      <c r="L7" s="51" t="s">
        <v>82</v>
      </c>
      <c r="M7" s="28">
        <v>130</v>
      </c>
      <c r="N7" s="144" t="b">
        <v>1</v>
      </c>
      <c r="O7" s="51" t="s">
        <v>83</v>
      </c>
      <c r="P7" s="30" t="s">
        <v>84</v>
      </c>
      <c r="Q7" s="24" t="s">
        <v>85</v>
      </c>
      <c r="R7" s="26" t="s">
        <v>86</v>
      </c>
      <c r="S7" s="31" t="s">
        <v>87</v>
      </c>
      <c r="T7" s="26" t="s">
        <v>85</v>
      </c>
      <c r="U7" s="26" t="s">
        <v>88</v>
      </c>
      <c r="V7" s="146" t="b">
        <v>0</v>
      </c>
      <c r="W7" s="33">
        <v>20</v>
      </c>
      <c r="X7" s="34" t="s">
        <v>89</v>
      </c>
      <c r="Y7" s="144" t="b">
        <v>1</v>
      </c>
      <c r="Z7" s="148" t="b">
        <v>0</v>
      </c>
      <c r="AA7" s="32" t="s">
        <v>65</v>
      </c>
      <c r="AB7" s="26"/>
      <c r="AC7" s="26"/>
      <c r="AD7" s="35"/>
      <c r="AE7" s="35"/>
      <c r="AF7" s="35"/>
      <c r="AG7" s="35"/>
      <c r="AH7" s="146" t="b">
        <v>0</v>
      </c>
      <c r="AI7" s="35" t="s">
        <v>66</v>
      </c>
      <c r="AJ7" s="35" t="s">
        <v>67</v>
      </c>
      <c r="AK7" s="32">
        <v>2019</v>
      </c>
      <c r="AL7" s="144" t="b">
        <v>1</v>
      </c>
      <c r="AM7" s="35"/>
      <c r="AN7" s="35" t="s">
        <v>90</v>
      </c>
      <c r="AO7" s="148" t="b">
        <v>1</v>
      </c>
      <c r="AP7" s="35"/>
      <c r="AQ7" s="53" t="s">
        <v>91</v>
      </c>
    </row>
    <row r="8" spans="1:43" ht="15.75" customHeight="1">
      <c r="A8" s="54" t="s">
        <v>51</v>
      </c>
      <c r="B8" s="41" t="s">
        <v>92</v>
      </c>
      <c r="C8" s="39"/>
      <c r="D8" s="38"/>
      <c r="E8" s="38" t="s">
        <v>93</v>
      </c>
      <c r="F8" s="24" t="s">
        <v>55</v>
      </c>
      <c r="G8" s="40" t="s">
        <v>70</v>
      </c>
      <c r="H8" s="41" t="s">
        <v>94</v>
      </c>
      <c r="I8" s="41" t="s">
        <v>95</v>
      </c>
      <c r="J8" s="41">
        <v>43.765152</v>
      </c>
      <c r="K8" s="41">
        <v>-103.600768</v>
      </c>
      <c r="L8" s="41" t="s">
        <v>96</v>
      </c>
      <c r="M8" s="42">
        <v>1919</v>
      </c>
      <c r="N8" s="144" t="b">
        <v>1</v>
      </c>
      <c r="O8" s="41" t="s">
        <v>97</v>
      </c>
      <c r="P8" s="43" t="s">
        <v>65</v>
      </c>
      <c r="Q8" s="41" t="s">
        <v>98</v>
      </c>
      <c r="R8" s="41" t="s">
        <v>88</v>
      </c>
      <c r="S8" s="55" t="s">
        <v>99</v>
      </c>
      <c r="T8" s="38" t="s">
        <v>100</v>
      </c>
      <c r="U8" s="41" t="s">
        <v>86</v>
      </c>
      <c r="V8" s="145" t="b">
        <v>0</v>
      </c>
      <c r="W8" s="56"/>
      <c r="X8" s="48"/>
      <c r="Y8" s="149" t="b">
        <v>0</v>
      </c>
      <c r="Z8" s="149" t="b">
        <v>0</v>
      </c>
      <c r="AA8" s="46"/>
      <c r="AB8" s="38"/>
      <c r="AC8" s="38"/>
      <c r="AD8" s="49"/>
      <c r="AE8" s="49"/>
      <c r="AF8" s="49"/>
      <c r="AG8" s="49"/>
      <c r="AH8" s="145" t="b">
        <v>0</v>
      </c>
      <c r="AI8" s="29" t="s">
        <v>101</v>
      </c>
      <c r="AJ8" s="49" t="s">
        <v>78</v>
      </c>
      <c r="AK8" s="57"/>
      <c r="AL8" s="149" t="b">
        <v>0</v>
      </c>
      <c r="AM8" s="49"/>
      <c r="AN8" s="49"/>
      <c r="AO8" s="149" t="b">
        <v>0</v>
      </c>
      <c r="AP8" s="49"/>
      <c r="AQ8" s="46"/>
    </row>
    <row r="9" spans="1:43" ht="15.75" customHeight="1">
      <c r="A9" s="50" t="s">
        <v>51</v>
      </c>
      <c r="B9" s="58" t="s">
        <v>102</v>
      </c>
      <c r="C9" s="52" t="s">
        <v>53</v>
      </c>
      <c r="D9" s="26"/>
      <c r="E9" s="26" t="s">
        <v>54</v>
      </c>
      <c r="F9" s="24" t="s">
        <v>55</v>
      </c>
      <c r="G9" s="27" t="s">
        <v>70</v>
      </c>
      <c r="H9" s="51" t="s">
        <v>94</v>
      </c>
      <c r="I9" s="51" t="s">
        <v>95</v>
      </c>
      <c r="J9" s="51">
        <v>43.765152</v>
      </c>
      <c r="K9" s="51">
        <v>-103.600768</v>
      </c>
      <c r="L9" s="51" t="s">
        <v>96</v>
      </c>
      <c r="M9" s="28">
        <v>1919</v>
      </c>
      <c r="N9" s="144" t="b">
        <v>1</v>
      </c>
      <c r="O9" s="58" t="s">
        <v>97</v>
      </c>
      <c r="P9" s="30" t="s">
        <v>65</v>
      </c>
      <c r="Q9" s="51" t="s">
        <v>103</v>
      </c>
      <c r="R9" s="51" t="s">
        <v>104</v>
      </c>
      <c r="S9" s="59" t="s">
        <v>105</v>
      </c>
      <c r="T9" s="24" t="s">
        <v>106</v>
      </c>
      <c r="U9" s="51" t="s">
        <v>86</v>
      </c>
      <c r="V9" s="147" t="b">
        <v>1</v>
      </c>
      <c r="W9" s="61"/>
      <c r="X9" s="34"/>
      <c r="Y9" s="144" t="b">
        <v>1</v>
      </c>
      <c r="Z9" s="148" t="b">
        <v>1</v>
      </c>
      <c r="AA9" s="32"/>
      <c r="AB9" s="26"/>
      <c r="AC9" s="26"/>
      <c r="AD9" s="35"/>
      <c r="AE9" s="35"/>
      <c r="AF9" s="35"/>
      <c r="AG9" s="35"/>
      <c r="AH9" s="146" t="b">
        <v>0</v>
      </c>
      <c r="AI9" s="29" t="s">
        <v>101</v>
      </c>
      <c r="AJ9" s="35"/>
      <c r="AK9" s="62"/>
      <c r="AL9" s="148" t="b">
        <v>0</v>
      </c>
      <c r="AM9" s="35"/>
      <c r="AN9" s="35"/>
      <c r="AO9" s="148" t="b">
        <v>0</v>
      </c>
      <c r="AP9" s="35"/>
      <c r="AQ9" s="32"/>
    </row>
    <row r="10" spans="1:43" ht="15.75" customHeight="1">
      <c r="A10" s="54" t="s">
        <v>51</v>
      </c>
      <c r="B10" s="58" t="s">
        <v>107</v>
      </c>
      <c r="C10" s="39"/>
      <c r="D10" s="38"/>
      <c r="E10" s="24" t="s">
        <v>93</v>
      </c>
      <c r="F10" s="24" t="s">
        <v>55</v>
      </c>
      <c r="G10" s="40" t="s">
        <v>70</v>
      </c>
      <c r="H10" s="41" t="s">
        <v>108</v>
      </c>
      <c r="I10" s="41" t="s">
        <v>109</v>
      </c>
      <c r="J10" s="41">
        <v>43.765152</v>
      </c>
      <c r="K10" s="41">
        <v>-103.600768</v>
      </c>
      <c r="L10" s="41" t="s">
        <v>110</v>
      </c>
      <c r="M10" s="42" t="s">
        <v>111</v>
      </c>
      <c r="N10" s="144" t="b">
        <v>1</v>
      </c>
      <c r="O10" s="58" t="s">
        <v>112</v>
      </c>
      <c r="P10" s="43"/>
      <c r="Q10" s="58" t="s">
        <v>113</v>
      </c>
      <c r="R10" s="41" t="s">
        <v>86</v>
      </c>
      <c r="S10" s="55" t="s">
        <v>114</v>
      </c>
      <c r="T10" s="38"/>
      <c r="U10" s="41"/>
      <c r="V10" s="145" t="b">
        <v>0</v>
      </c>
      <c r="W10" s="56"/>
      <c r="X10" s="48"/>
      <c r="Y10" s="149" t="b">
        <v>0</v>
      </c>
      <c r="Z10" s="149" t="b">
        <v>0</v>
      </c>
      <c r="AA10" s="46"/>
      <c r="AB10" s="38"/>
      <c r="AC10" s="38"/>
      <c r="AD10" s="49"/>
      <c r="AE10" s="49"/>
      <c r="AF10" s="49"/>
      <c r="AG10" s="49"/>
      <c r="AH10" s="145" t="b">
        <v>0</v>
      </c>
      <c r="AI10" s="29" t="s">
        <v>66</v>
      </c>
      <c r="AJ10" s="49" t="s">
        <v>115</v>
      </c>
      <c r="AK10" s="57"/>
      <c r="AL10" s="149" t="b">
        <v>0</v>
      </c>
      <c r="AM10" s="49"/>
      <c r="AN10" s="49"/>
      <c r="AO10" s="149" t="b">
        <v>0</v>
      </c>
      <c r="AP10" s="49"/>
      <c r="AQ10" s="46"/>
    </row>
    <row r="11" spans="1:43" ht="15.75" customHeight="1">
      <c r="A11" s="50" t="s">
        <v>51</v>
      </c>
      <c r="B11" s="58" t="s">
        <v>116</v>
      </c>
      <c r="C11" s="52"/>
      <c r="D11" s="26"/>
      <c r="E11" s="24" t="s">
        <v>93</v>
      </c>
      <c r="F11" s="26" t="s">
        <v>55</v>
      </c>
      <c r="G11" s="36" t="s">
        <v>70</v>
      </c>
      <c r="H11" s="51" t="s">
        <v>94</v>
      </c>
      <c r="I11" s="51" t="s">
        <v>95</v>
      </c>
      <c r="J11" s="51">
        <v>43.765152</v>
      </c>
      <c r="K11" s="51">
        <v>-103.600768</v>
      </c>
      <c r="L11" s="51" t="s">
        <v>117</v>
      </c>
      <c r="M11" s="28">
        <v>109</v>
      </c>
      <c r="N11" s="144" t="b">
        <v>1</v>
      </c>
      <c r="O11" s="51" t="s">
        <v>97</v>
      </c>
      <c r="P11" s="30" t="s">
        <v>65</v>
      </c>
      <c r="Q11" s="51" t="s">
        <v>118</v>
      </c>
      <c r="R11" s="51" t="s">
        <v>63</v>
      </c>
      <c r="S11" s="59" t="s">
        <v>119</v>
      </c>
      <c r="T11" s="26"/>
      <c r="U11" s="51"/>
      <c r="V11" s="146" t="b">
        <v>0</v>
      </c>
      <c r="W11" s="61"/>
      <c r="X11" s="34"/>
      <c r="Y11" s="148" t="b">
        <v>0</v>
      </c>
      <c r="Z11" s="148" t="b">
        <v>0</v>
      </c>
      <c r="AA11" s="32"/>
      <c r="AB11" s="26"/>
      <c r="AC11" s="26"/>
      <c r="AD11" s="35"/>
      <c r="AE11" s="35"/>
      <c r="AF11" s="35"/>
      <c r="AG11" s="35"/>
      <c r="AH11" s="146" t="b">
        <v>0</v>
      </c>
      <c r="AI11" s="29" t="s">
        <v>66</v>
      </c>
      <c r="AJ11" s="35" t="s">
        <v>120</v>
      </c>
      <c r="AK11" s="62"/>
      <c r="AL11" s="148" t="b">
        <v>0</v>
      </c>
      <c r="AM11" s="35"/>
      <c r="AN11" s="35"/>
      <c r="AO11" s="148" t="b">
        <v>0</v>
      </c>
      <c r="AP11" s="35"/>
      <c r="AQ11" s="32"/>
    </row>
    <row r="12" spans="1:43" ht="15.75" customHeight="1">
      <c r="A12" s="54" t="s">
        <v>51</v>
      </c>
      <c r="B12" s="41" t="s">
        <v>121</v>
      </c>
      <c r="C12" s="39" t="s">
        <v>69</v>
      </c>
      <c r="D12" s="38"/>
      <c r="E12" s="38" t="s">
        <v>54</v>
      </c>
      <c r="F12" s="24" t="s">
        <v>55</v>
      </c>
      <c r="G12" s="40" t="s">
        <v>70</v>
      </c>
      <c r="H12" s="41" t="s">
        <v>57</v>
      </c>
      <c r="I12" s="41" t="s">
        <v>58</v>
      </c>
      <c r="J12" s="38">
        <v>37.755278300000001</v>
      </c>
      <c r="K12" s="38">
        <v>-117.63417699999999</v>
      </c>
      <c r="L12" s="41" t="s">
        <v>59</v>
      </c>
      <c r="M12" s="42">
        <v>121</v>
      </c>
      <c r="N12" s="144" t="b">
        <v>1</v>
      </c>
      <c r="O12" s="41" t="s">
        <v>65</v>
      </c>
      <c r="P12" s="43" t="s">
        <v>65</v>
      </c>
      <c r="Q12" s="41" t="s">
        <v>122</v>
      </c>
      <c r="R12" s="41" t="s">
        <v>63</v>
      </c>
      <c r="S12" s="63" t="s">
        <v>123</v>
      </c>
      <c r="T12" s="38"/>
      <c r="U12" s="41"/>
      <c r="V12" s="147" t="b">
        <v>1</v>
      </c>
      <c r="W12" s="56"/>
      <c r="X12" s="48"/>
      <c r="Y12" s="149" t="b">
        <v>0</v>
      </c>
      <c r="Z12" s="149" t="b">
        <v>0</v>
      </c>
      <c r="AA12" s="46"/>
      <c r="AB12" s="38"/>
      <c r="AC12" s="38"/>
      <c r="AD12" s="49"/>
      <c r="AE12" s="49"/>
      <c r="AF12" s="49"/>
      <c r="AG12" s="49"/>
      <c r="AH12" s="145" t="b">
        <v>0</v>
      </c>
      <c r="AI12" s="49" t="s">
        <v>66</v>
      </c>
      <c r="AJ12" s="49" t="s">
        <v>67</v>
      </c>
      <c r="AK12" s="57">
        <v>2022</v>
      </c>
      <c r="AL12" s="149" t="b">
        <v>0</v>
      </c>
      <c r="AM12" s="49"/>
      <c r="AN12" s="49"/>
      <c r="AO12" s="149" t="b">
        <v>0</v>
      </c>
      <c r="AP12" s="49"/>
      <c r="AQ12" s="46"/>
    </row>
    <row r="13" spans="1:43" ht="15.75" customHeight="1">
      <c r="A13" s="50" t="s">
        <v>51</v>
      </c>
      <c r="B13" s="51" t="s">
        <v>124</v>
      </c>
      <c r="C13" s="25" t="s">
        <v>53</v>
      </c>
      <c r="D13" s="26" t="s">
        <v>125</v>
      </c>
      <c r="E13" s="24" t="s">
        <v>93</v>
      </c>
      <c r="F13" s="24" t="s">
        <v>126</v>
      </c>
      <c r="G13" s="36" t="s">
        <v>70</v>
      </c>
      <c r="H13" s="51" t="s">
        <v>57</v>
      </c>
      <c r="I13" s="51" t="s">
        <v>127</v>
      </c>
      <c r="J13" s="26">
        <v>36.929606</v>
      </c>
      <c r="K13" s="26">
        <v>-116.7217689</v>
      </c>
      <c r="L13" s="51" t="s">
        <v>128</v>
      </c>
      <c r="M13" s="28">
        <v>880</v>
      </c>
      <c r="N13" s="144" t="b">
        <v>1</v>
      </c>
      <c r="O13" s="51" t="s">
        <v>129</v>
      </c>
      <c r="P13" s="30" t="s">
        <v>130</v>
      </c>
      <c r="Q13" s="51" t="s">
        <v>131</v>
      </c>
      <c r="R13" s="51" t="s">
        <v>63</v>
      </c>
      <c r="S13" s="31" t="s">
        <v>132</v>
      </c>
      <c r="T13" s="26" t="s">
        <v>131</v>
      </c>
      <c r="U13" s="51" t="s">
        <v>63</v>
      </c>
      <c r="V13" s="147" t="b">
        <v>1</v>
      </c>
      <c r="W13" s="61">
        <v>32</v>
      </c>
      <c r="X13" s="34">
        <v>40</v>
      </c>
      <c r="Y13" s="144" t="b">
        <v>1</v>
      </c>
      <c r="Z13" s="148" t="b">
        <v>1</v>
      </c>
      <c r="AA13" s="32">
        <v>655</v>
      </c>
      <c r="AB13" s="26"/>
      <c r="AC13" s="26"/>
      <c r="AD13" s="35"/>
      <c r="AE13" s="35"/>
      <c r="AF13" s="35"/>
      <c r="AG13" s="35"/>
      <c r="AH13" s="146" t="b">
        <v>0</v>
      </c>
      <c r="AI13" s="29" t="s">
        <v>66</v>
      </c>
      <c r="AJ13" s="35" t="s">
        <v>67</v>
      </c>
      <c r="AK13" s="62">
        <v>2016</v>
      </c>
      <c r="AL13" s="148" t="b">
        <v>0</v>
      </c>
      <c r="AM13" s="35"/>
      <c r="AN13" s="35"/>
      <c r="AO13" s="148" t="b">
        <v>0</v>
      </c>
      <c r="AP13" s="35"/>
      <c r="AQ13" s="32"/>
    </row>
    <row r="14" spans="1:43" ht="15.75" customHeight="1">
      <c r="A14" s="54" t="s">
        <v>51</v>
      </c>
      <c r="B14" s="41" t="s">
        <v>133</v>
      </c>
      <c r="C14" s="39" t="s">
        <v>69</v>
      </c>
      <c r="D14" s="38" t="s">
        <v>125</v>
      </c>
      <c r="E14" s="38" t="s">
        <v>54</v>
      </c>
      <c r="F14" s="24" t="s">
        <v>80</v>
      </c>
      <c r="G14" s="27" t="s">
        <v>56</v>
      </c>
      <c r="H14" s="41" t="s">
        <v>134</v>
      </c>
      <c r="I14" s="41" t="s">
        <v>135</v>
      </c>
      <c r="J14" s="38">
        <v>42.264609999999998</v>
      </c>
      <c r="K14" s="38">
        <v>-118.67538070000001</v>
      </c>
      <c r="L14" s="41" t="s">
        <v>136</v>
      </c>
      <c r="M14" s="42">
        <v>120</v>
      </c>
      <c r="N14" s="144" t="b">
        <v>1</v>
      </c>
      <c r="O14" s="41" t="s">
        <v>65</v>
      </c>
      <c r="P14" s="43" t="s">
        <v>137</v>
      </c>
      <c r="Q14" s="41" t="s">
        <v>138</v>
      </c>
      <c r="R14" s="38" t="s">
        <v>86</v>
      </c>
      <c r="S14" s="64" t="s">
        <v>139</v>
      </c>
      <c r="T14" s="41" t="s">
        <v>138</v>
      </c>
      <c r="U14" s="38" t="s">
        <v>86</v>
      </c>
      <c r="V14" s="145" t="b">
        <v>0</v>
      </c>
      <c r="W14" s="47"/>
      <c r="X14" s="48"/>
      <c r="Y14" s="149" t="b">
        <v>0</v>
      </c>
      <c r="Z14" s="149" t="b">
        <v>0</v>
      </c>
      <c r="AA14" s="46" t="s">
        <v>65</v>
      </c>
      <c r="AB14" s="38"/>
      <c r="AC14" s="38"/>
      <c r="AD14" s="49"/>
      <c r="AE14" s="49"/>
      <c r="AF14" s="49"/>
      <c r="AG14" s="49"/>
      <c r="AH14" s="145" t="b">
        <v>0</v>
      </c>
      <c r="AI14" s="49" t="s">
        <v>66</v>
      </c>
      <c r="AJ14" s="49" t="s">
        <v>67</v>
      </c>
      <c r="AK14" s="46">
        <v>2022</v>
      </c>
      <c r="AL14" s="149" t="b">
        <v>0</v>
      </c>
      <c r="AM14" s="49"/>
      <c r="AN14" s="49"/>
      <c r="AO14" s="149" t="b">
        <v>1</v>
      </c>
      <c r="AP14" s="49"/>
      <c r="AQ14" s="46"/>
    </row>
    <row r="15" spans="1:43" ht="15.75" customHeight="1">
      <c r="A15" s="50" t="s">
        <v>51</v>
      </c>
      <c r="B15" s="51" t="s">
        <v>125</v>
      </c>
      <c r="C15" s="52" t="s">
        <v>140</v>
      </c>
      <c r="D15" s="26"/>
      <c r="E15" s="26" t="s">
        <v>54</v>
      </c>
      <c r="F15" s="24" t="s">
        <v>126</v>
      </c>
      <c r="G15" s="36" t="s">
        <v>70</v>
      </c>
      <c r="H15" s="51" t="s">
        <v>141</v>
      </c>
      <c r="I15" s="26" t="s">
        <v>142</v>
      </c>
      <c r="J15" s="26">
        <v>35.017630599999997</v>
      </c>
      <c r="K15" s="26">
        <v>-117.66802130000001</v>
      </c>
      <c r="L15" s="51" t="s">
        <v>143</v>
      </c>
      <c r="M15" s="28">
        <v>2086</v>
      </c>
      <c r="N15" s="144" t="b">
        <v>1</v>
      </c>
      <c r="O15" s="51" t="s">
        <v>144</v>
      </c>
      <c r="P15" s="30" t="s">
        <v>65</v>
      </c>
      <c r="Q15" s="51" t="s">
        <v>145</v>
      </c>
      <c r="R15" s="51" t="s">
        <v>76</v>
      </c>
      <c r="S15" s="31" t="s">
        <v>146</v>
      </c>
      <c r="T15" s="26" t="s">
        <v>147</v>
      </c>
      <c r="U15" s="51" t="s">
        <v>76</v>
      </c>
      <c r="V15" s="146" t="b">
        <v>0</v>
      </c>
      <c r="W15" s="61">
        <v>5</v>
      </c>
      <c r="X15" s="34"/>
      <c r="Y15" s="148" t="b">
        <v>1</v>
      </c>
      <c r="Z15" s="148" t="b">
        <v>1</v>
      </c>
      <c r="AA15" s="32" t="s">
        <v>65</v>
      </c>
      <c r="AB15" s="26">
        <v>1</v>
      </c>
      <c r="AC15" s="24" t="s">
        <v>148</v>
      </c>
      <c r="AD15" s="35"/>
      <c r="AE15" s="35"/>
      <c r="AF15" s="35"/>
      <c r="AG15" s="35" t="s">
        <v>149</v>
      </c>
      <c r="AH15" s="146" t="b">
        <v>0</v>
      </c>
      <c r="AI15" s="35" t="s">
        <v>66</v>
      </c>
      <c r="AJ15" s="35" t="s">
        <v>78</v>
      </c>
      <c r="AK15" s="32"/>
      <c r="AL15" s="148" t="b">
        <v>0</v>
      </c>
      <c r="AM15" s="35"/>
      <c r="AN15" s="35"/>
      <c r="AO15" s="148" t="b">
        <v>0</v>
      </c>
      <c r="AP15" s="35"/>
      <c r="AQ15" s="32"/>
    </row>
    <row r="16" spans="1:43" ht="15.75" customHeight="1">
      <c r="A16" s="54" t="s">
        <v>51</v>
      </c>
      <c r="B16" s="41" t="s">
        <v>150</v>
      </c>
      <c r="C16" s="25" t="s">
        <v>53</v>
      </c>
      <c r="D16" s="38"/>
      <c r="E16" s="24" t="s">
        <v>93</v>
      </c>
      <c r="F16" s="24" t="s">
        <v>80</v>
      </c>
      <c r="G16" s="27" t="s">
        <v>56</v>
      </c>
      <c r="H16" s="41" t="s">
        <v>151</v>
      </c>
      <c r="I16" s="41" t="s">
        <v>152</v>
      </c>
      <c r="J16" s="38">
        <v>35.3787442</v>
      </c>
      <c r="K16" s="38">
        <v>-81.378973900000005</v>
      </c>
      <c r="L16" s="41" t="s">
        <v>153</v>
      </c>
      <c r="M16" s="42">
        <v>6707</v>
      </c>
      <c r="N16" s="144" t="b">
        <v>1</v>
      </c>
      <c r="O16" s="41" t="s">
        <v>65</v>
      </c>
      <c r="P16" s="40" t="s">
        <v>154</v>
      </c>
      <c r="Q16" s="41" t="s">
        <v>155</v>
      </c>
      <c r="R16" s="38" t="s">
        <v>88</v>
      </c>
      <c r="S16" s="64" t="s">
        <v>156</v>
      </c>
      <c r="T16" s="58" t="s">
        <v>157</v>
      </c>
      <c r="U16" s="38" t="s">
        <v>86</v>
      </c>
      <c r="V16" s="145" t="b">
        <v>0</v>
      </c>
      <c r="W16" s="47">
        <v>8</v>
      </c>
      <c r="X16" s="48">
        <v>11.5</v>
      </c>
      <c r="Y16" s="149" t="b">
        <v>1</v>
      </c>
      <c r="Z16" s="144" t="b">
        <v>1</v>
      </c>
      <c r="AA16" s="46">
        <v>838.6</v>
      </c>
      <c r="AB16" s="38">
        <v>1</v>
      </c>
      <c r="AC16" s="38" t="s">
        <v>148</v>
      </c>
      <c r="AD16" s="49">
        <v>2022</v>
      </c>
      <c r="AE16" s="49" t="s">
        <v>158</v>
      </c>
      <c r="AF16" s="49">
        <v>141.69999999999999</v>
      </c>
      <c r="AG16" s="49" t="s">
        <v>159</v>
      </c>
      <c r="AH16" s="147" t="b">
        <v>1</v>
      </c>
      <c r="AI16" s="29" t="s">
        <v>160</v>
      </c>
      <c r="AJ16" s="49" t="s">
        <v>65</v>
      </c>
      <c r="AK16" s="46">
        <v>2016</v>
      </c>
      <c r="AL16" s="144" t="b">
        <v>1</v>
      </c>
      <c r="AM16" s="49">
        <v>2</v>
      </c>
      <c r="AN16" s="49" t="s">
        <v>44</v>
      </c>
      <c r="AO16" s="149" t="b">
        <v>0</v>
      </c>
      <c r="AP16" s="49" t="s">
        <v>161</v>
      </c>
      <c r="AQ16" s="46"/>
    </row>
    <row r="17" spans="1:43" ht="15.75" customHeight="1">
      <c r="A17" s="23" t="s">
        <v>51</v>
      </c>
      <c r="B17" s="26" t="s">
        <v>162</v>
      </c>
      <c r="C17" s="52" t="s">
        <v>69</v>
      </c>
      <c r="D17" s="26"/>
      <c r="E17" s="26" t="s">
        <v>54</v>
      </c>
      <c r="F17" s="24" t="s">
        <v>55</v>
      </c>
      <c r="G17" s="27" t="s">
        <v>56</v>
      </c>
      <c r="H17" s="26" t="s">
        <v>57</v>
      </c>
      <c r="I17" s="26" t="s">
        <v>58</v>
      </c>
      <c r="J17" s="26">
        <v>37.755278300000001</v>
      </c>
      <c r="K17" s="26">
        <v>-117.63417699999999</v>
      </c>
      <c r="L17" s="51" t="s">
        <v>59</v>
      </c>
      <c r="M17" s="28">
        <v>213</v>
      </c>
      <c r="N17" s="144" t="b">
        <v>1</v>
      </c>
      <c r="O17" s="26" t="s">
        <v>60</v>
      </c>
      <c r="P17" s="30" t="s">
        <v>61</v>
      </c>
      <c r="Q17" s="26" t="s">
        <v>163</v>
      </c>
      <c r="R17" s="26" t="s">
        <v>63</v>
      </c>
      <c r="S17" s="65" t="s">
        <v>164</v>
      </c>
      <c r="T17" s="26"/>
      <c r="U17" s="26"/>
      <c r="V17" s="146" t="b">
        <v>0</v>
      </c>
      <c r="W17" s="66"/>
      <c r="X17" s="26">
        <v>40</v>
      </c>
      <c r="Y17" s="148" t="b">
        <v>0</v>
      </c>
      <c r="Z17" s="148" t="b">
        <v>0</v>
      </c>
      <c r="AA17" s="32" t="s">
        <v>65</v>
      </c>
      <c r="AB17" s="26"/>
      <c r="AC17" s="26"/>
      <c r="AD17" s="35"/>
      <c r="AE17" s="35"/>
      <c r="AF17" s="35"/>
      <c r="AG17" s="35"/>
      <c r="AH17" s="146" t="b">
        <v>0</v>
      </c>
      <c r="AI17" s="35" t="s">
        <v>66</v>
      </c>
      <c r="AJ17" s="29" t="s">
        <v>67</v>
      </c>
      <c r="AK17" s="32"/>
      <c r="AL17" s="148" t="b">
        <v>0</v>
      </c>
      <c r="AM17" s="35"/>
      <c r="AN17" s="26"/>
      <c r="AO17" s="148" t="b">
        <v>0</v>
      </c>
      <c r="AP17" s="26"/>
      <c r="AQ17" s="36"/>
    </row>
    <row r="18" spans="1:43" ht="15.75" customHeight="1">
      <c r="A18" s="54" t="s">
        <v>51</v>
      </c>
      <c r="B18" s="38" t="s">
        <v>165</v>
      </c>
      <c r="C18" s="39" t="s">
        <v>166</v>
      </c>
      <c r="D18" s="38"/>
      <c r="E18" s="38" t="s">
        <v>54</v>
      </c>
      <c r="F18" s="24" t="s">
        <v>126</v>
      </c>
      <c r="G18" s="27" t="s">
        <v>56</v>
      </c>
      <c r="H18" s="41" t="s">
        <v>57</v>
      </c>
      <c r="I18" s="41" t="s">
        <v>58</v>
      </c>
      <c r="J18" s="38">
        <v>37.755278300000001</v>
      </c>
      <c r="K18" s="38">
        <v>-117.63417699999999</v>
      </c>
      <c r="L18" s="41" t="s">
        <v>59</v>
      </c>
      <c r="M18" s="42">
        <v>213</v>
      </c>
      <c r="N18" s="144" t="b">
        <v>1</v>
      </c>
      <c r="O18" s="41" t="s">
        <v>60</v>
      </c>
      <c r="P18" s="43" t="s">
        <v>61</v>
      </c>
      <c r="Q18" s="58" t="s">
        <v>167</v>
      </c>
      <c r="R18" s="41" t="s">
        <v>63</v>
      </c>
      <c r="S18" s="67" t="s">
        <v>168</v>
      </c>
      <c r="T18" s="38"/>
      <c r="U18" s="41"/>
      <c r="V18" s="147" t="b">
        <v>1</v>
      </c>
      <c r="W18" s="47"/>
      <c r="X18" s="48"/>
      <c r="Y18" s="149" t="b">
        <v>0</v>
      </c>
      <c r="Z18" s="149" t="b">
        <v>0</v>
      </c>
      <c r="AA18" s="46" t="s">
        <v>65</v>
      </c>
      <c r="AB18" s="38"/>
      <c r="AC18" s="38"/>
      <c r="AD18" s="49"/>
      <c r="AE18" s="49"/>
      <c r="AF18" s="49"/>
      <c r="AG18" s="49"/>
      <c r="AH18" s="145" t="b">
        <v>0</v>
      </c>
      <c r="AI18" s="29" t="s">
        <v>66</v>
      </c>
      <c r="AJ18" s="49" t="s">
        <v>67</v>
      </c>
      <c r="AK18" s="57">
        <v>2017</v>
      </c>
      <c r="AL18" s="144" t="b">
        <v>1</v>
      </c>
      <c r="AM18" s="49">
        <v>1</v>
      </c>
      <c r="AN18" s="49" t="s">
        <v>14</v>
      </c>
      <c r="AO18" s="144" t="b">
        <v>1</v>
      </c>
      <c r="AP18" s="49" t="s">
        <v>161</v>
      </c>
      <c r="AQ18" s="46"/>
    </row>
    <row r="19" spans="1:43" ht="15.75" customHeight="1">
      <c r="A19" s="50" t="s">
        <v>51</v>
      </c>
      <c r="B19" s="26" t="s">
        <v>169</v>
      </c>
      <c r="C19" s="52" t="s">
        <v>170</v>
      </c>
      <c r="D19" s="26" t="s">
        <v>125</v>
      </c>
      <c r="E19" s="26" t="s">
        <v>93</v>
      </c>
      <c r="F19" s="24" t="s">
        <v>55</v>
      </c>
      <c r="G19" s="36" t="s">
        <v>70</v>
      </c>
      <c r="H19" s="51" t="s">
        <v>57</v>
      </c>
      <c r="I19" s="26" t="s">
        <v>127</v>
      </c>
      <c r="J19" s="26">
        <v>38.100062999999999</v>
      </c>
      <c r="K19" s="26">
        <v>-117.2250609</v>
      </c>
      <c r="L19" s="26" t="s">
        <v>171</v>
      </c>
      <c r="M19" s="28">
        <v>1938</v>
      </c>
      <c r="N19" s="144" t="b">
        <v>1</v>
      </c>
      <c r="O19" s="26" t="s">
        <v>65</v>
      </c>
      <c r="P19" s="36" t="s">
        <v>65</v>
      </c>
      <c r="Q19" s="26" t="s">
        <v>172</v>
      </c>
      <c r="R19" s="51" t="s">
        <v>63</v>
      </c>
      <c r="S19" s="65" t="s">
        <v>173</v>
      </c>
      <c r="T19" s="26"/>
      <c r="U19" s="51"/>
      <c r="V19" s="147" t="b">
        <v>1</v>
      </c>
      <c r="W19" s="61"/>
      <c r="X19" s="34"/>
      <c r="Y19" s="148" t="b">
        <v>0</v>
      </c>
      <c r="Z19" s="148" t="b">
        <v>0</v>
      </c>
      <c r="AA19" s="32"/>
      <c r="AB19" s="26"/>
      <c r="AC19" s="26"/>
      <c r="AD19" s="35"/>
      <c r="AE19" s="35"/>
      <c r="AF19" s="35"/>
      <c r="AG19" s="35"/>
      <c r="AH19" s="146" t="b">
        <v>0</v>
      </c>
      <c r="AI19" s="35" t="s">
        <v>66</v>
      </c>
      <c r="AJ19" s="35" t="s">
        <v>67</v>
      </c>
      <c r="AK19" s="32"/>
      <c r="AL19" s="148" t="b">
        <v>0</v>
      </c>
      <c r="AM19" s="35"/>
      <c r="AN19" s="35"/>
      <c r="AO19" s="148" t="b">
        <v>0</v>
      </c>
      <c r="AP19" s="35"/>
      <c r="AQ19" s="32"/>
    </row>
    <row r="20" spans="1:43" ht="15.75" customHeight="1">
      <c r="A20" s="54" t="s">
        <v>51</v>
      </c>
      <c r="B20" s="38" t="s">
        <v>174</v>
      </c>
      <c r="C20" s="39" t="s">
        <v>170</v>
      </c>
      <c r="D20" s="38"/>
      <c r="E20" s="38" t="s">
        <v>54</v>
      </c>
      <c r="F20" s="24" t="s">
        <v>80</v>
      </c>
      <c r="G20" s="27" t="s">
        <v>56</v>
      </c>
      <c r="H20" s="41" t="s">
        <v>175</v>
      </c>
      <c r="I20" s="38" t="s">
        <v>176</v>
      </c>
      <c r="J20" s="38">
        <v>41.223004799999998</v>
      </c>
      <c r="K20" s="38">
        <v>-111.97384289999999</v>
      </c>
      <c r="L20" s="38" t="s">
        <v>177</v>
      </c>
      <c r="M20" s="42">
        <v>87321</v>
      </c>
      <c r="N20" s="144" t="b">
        <v>1</v>
      </c>
      <c r="O20" s="38" t="s">
        <v>65</v>
      </c>
      <c r="P20" s="40" t="s">
        <v>178</v>
      </c>
      <c r="Q20" s="38" t="s">
        <v>174</v>
      </c>
      <c r="R20" s="41" t="s">
        <v>88</v>
      </c>
      <c r="S20" s="64" t="s">
        <v>179</v>
      </c>
      <c r="T20" s="38"/>
      <c r="U20" s="41"/>
      <c r="V20" s="145" t="b">
        <v>0</v>
      </c>
      <c r="W20" s="56">
        <v>35</v>
      </c>
      <c r="X20" s="48"/>
      <c r="Y20" s="149" t="b">
        <v>1</v>
      </c>
      <c r="Z20" s="149" t="b">
        <v>1</v>
      </c>
      <c r="AA20" s="46" t="s">
        <v>65</v>
      </c>
      <c r="AB20" s="38"/>
      <c r="AC20" s="38"/>
      <c r="AD20" s="49"/>
      <c r="AE20" s="49"/>
      <c r="AF20" s="49"/>
      <c r="AG20" s="49"/>
      <c r="AH20" s="147" t="b">
        <v>1</v>
      </c>
      <c r="AI20" s="49" t="s">
        <v>160</v>
      </c>
      <c r="AJ20" s="49" t="s">
        <v>65</v>
      </c>
      <c r="AK20" s="46"/>
      <c r="AL20" s="149" t="b">
        <v>0</v>
      </c>
      <c r="AM20" s="49"/>
      <c r="AN20" s="49"/>
      <c r="AO20" s="149" t="b">
        <v>0</v>
      </c>
      <c r="AP20" s="49"/>
      <c r="AQ20" s="46"/>
    </row>
    <row r="21" spans="1:43" ht="15.75" customHeight="1">
      <c r="A21" s="23" t="s">
        <v>51</v>
      </c>
      <c r="B21" s="26" t="s">
        <v>180</v>
      </c>
      <c r="C21" s="52" t="s">
        <v>69</v>
      </c>
      <c r="D21" s="26" t="s">
        <v>181</v>
      </c>
      <c r="E21" s="26" t="s">
        <v>54</v>
      </c>
      <c r="F21" s="24" t="s">
        <v>55</v>
      </c>
      <c r="G21" s="36" t="s">
        <v>70</v>
      </c>
      <c r="H21" s="26" t="s">
        <v>57</v>
      </c>
      <c r="I21" s="26" t="s">
        <v>58</v>
      </c>
      <c r="J21" s="26">
        <v>37.667780700000002</v>
      </c>
      <c r="K21" s="26">
        <v>-118.067502</v>
      </c>
      <c r="L21" s="26" t="s">
        <v>182</v>
      </c>
      <c r="M21" s="28">
        <v>232</v>
      </c>
      <c r="N21" s="144" t="b">
        <v>1</v>
      </c>
      <c r="O21" s="26" t="s">
        <v>65</v>
      </c>
      <c r="P21" s="36" t="s">
        <v>65</v>
      </c>
      <c r="Q21" s="26" t="s">
        <v>183</v>
      </c>
      <c r="R21" s="26" t="s">
        <v>88</v>
      </c>
      <c r="S21" s="65" t="s">
        <v>184</v>
      </c>
      <c r="T21" s="26"/>
      <c r="U21" s="26"/>
      <c r="V21" s="146" t="b">
        <v>0</v>
      </c>
      <c r="W21" s="33"/>
      <c r="X21" s="34"/>
      <c r="Y21" s="148" t="b">
        <v>0</v>
      </c>
      <c r="Z21" s="148" t="b">
        <v>0</v>
      </c>
      <c r="AA21" s="32"/>
      <c r="AB21" s="26"/>
      <c r="AC21" s="26"/>
      <c r="AD21" s="35"/>
      <c r="AE21" s="35"/>
      <c r="AF21" s="35"/>
      <c r="AG21" s="35"/>
      <c r="AH21" s="146" t="b">
        <v>0</v>
      </c>
      <c r="AI21" s="35"/>
      <c r="AJ21" s="35"/>
      <c r="AK21" s="32"/>
      <c r="AL21" s="148" t="b">
        <v>0</v>
      </c>
      <c r="AM21" s="35"/>
      <c r="AN21" s="35"/>
      <c r="AO21" s="148" t="b">
        <v>0</v>
      </c>
      <c r="AP21" s="35"/>
      <c r="AQ21" s="32"/>
    </row>
    <row r="22" spans="1:43" ht="15.75" customHeight="1">
      <c r="A22" s="37" t="s">
        <v>51</v>
      </c>
      <c r="B22" s="38" t="s">
        <v>185</v>
      </c>
      <c r="C22" s="39" t="s">
        <v>53</v>
      </c>
      <c r="D22" s="38" t="s">
        <v>125</v>
      </c>
      <c r="E22" s="38" t="s">
        <v>54</v>
      </c>
      <c r="F22" s="24" t="s">
        <v>126</v>
      </c>
      <c r="G22" s="40" t="s">
        <v>70</v>
      </c>
      <c r="H22" s="38" t="s">
        <v>141</v>
      </c>
      <c r="I22" s="38" t="s">
        <v>186</v>
      </c>
      <c r="J22" s="38">
        <v>34.898621499999997</v>
      </c>
      <c r="K22" s="38">
        <v>-117.0244313</v>
      </c>
      <c r="L22" s="38" t="s">
        <v>187</v>
      </c>
      <c r="M22" s="42">
        <v>25415</v>
      </c>
      <c r="N22" s="144" t="b">
        <v>1</v>
      </c>
      <c r="O22" s="38" t="s">
        <v>188</v>
      </c>
      <c r="P22" s="40" t="s">
        <v>65</v>
      </c>
      <c r="Q22" s="24" t="s">
        <v>189</v>
      </c>
      <c r="R22" s="38" t="s">
        <v>88</v>
      </c>
      <c r="S22" s="64" t="s">
        <v>190</v>
      </c>
      <c r="T22" s="38"/>
      <c r="U22" s="38"/>
      <c r="V22" s="145" t="b">
        <v>0</v>
      </c>
      <c r="W22" s="68"/>
      <c r="X22" s="48">
        <v>31</v>
      </c>
      <c r="Y22" s="149" t="b">
        <v>0</v>
      </c>
      <c r="Z22" s="149" t="b">
        <v>0</v>
      </c>
      <c r="AA22" s="60">
        <v>526</v>
      </c>
      <c r="AB22" s="38">
        <v>2</v>
      </c>
      <c r="AC22" s="26" t="s">
        <v>191</v>
      </c>
      <c r="AD22" s="49">
        <v>2024</v>
      </c>
      <c r="AE22" s="29" t="s">
        <v>192</v>
      </c>
      <c r="AF22" s="49">
        <f>285+186.5</f>
        <v>471.5</v>
      </c>
      <c r="AG22" s="49" t="s">
        <v>193</v>
      </c>
      <c r="AH22" s="145" t="b">
        <v>0</v>
      </c>
      <c r="AI22" s="49" t="s">
        <v>66</v>
      </c>
      <c r="AJ22" s="49" t="s">
        <v>67</v>
      </c>
      <c r="AK22" s="46"/>
      <c r="AL22" s="149" t="b">
        <v>0</v>
      </c>
      <c r="AM22" s="49"/>
      <c r="AN22" s="49"/>
      <c r="AO22" s="149" t="b">
        <v>0</v>
      </c>
      <c r="AP22" s="49"/>
      <c r="AQ22" s="46"/>
    </row>
    <row r="23" spans="1:43" ht="15.75" customHeight="1">
      <c r="A23" s="23" t="s">
        <v>51</v>
      </c>
      <c r="B23" s="26" t="s">
        <v>194</v>
      </c>
      <c r="C23" s="25" t="s">
        <v>170</v>
      </c>
      <c r="D23" s="69" t="s">
        <v>195</v>
      </c>
      <c r="E23" s="26" t="s">
        <v>54</v>
      </c>
      <c r="F23" s="26" t="s">
        <v>55</v>
      </c>
      <c r="G23" s="36" t="s">
        <v>70</v>
      </c>
      <c r="H23" s="26" t="s">
        <v>175</v>
      </c>
      <c r="I23" s="51" t="s">
        <v>196</v>
      </c>
      <c r="J23" s="26">
        <v>38.573809599999997</v>
      </c>
      <c r="K23" s="26">
        <v>-109.54621400000001</v>
      </c>
      <c r="L23" s="51" t="s">
        <v>197</v>
      </c>
      <c r="M23" s="28">
        <v>5221</v>
      </c>
      <c r="N23" s="144" t="b">
        <v>1</v>
      </c>
      <c r="O23" s="26" t="s">
        <v>65</v>
      </c>
      <c r="P23" s="36" t="s">
        <v>65</v>
      </c>
      <c r="Q23" s="26" t="s">
        <v>198</v>
      </c>
      <c r="R23" s="26" t="s">
        <v>88</v>
      </c>
      <c r="S23" s="70" t="s">
        <v>199</v>
      </c>
      <c r="T23" s="26"/>
      <c r="U23" s="26"/>
      <c r="V23" s="147" t="b">
        <v>1</v>
      </c>
      <c r="W23" s="33"/>
      <c r="X23" s="34"/>
      <c r="Y23" s="148" t="b">
        <v>0</v>
      </c>
      <c r="Z23" s="148" t="b">
        <v>0</v>
      </c>
      <c r="AA23" s="32"/>
      <c r="AB23" s="26"/>
      <c r="AC23" s="26"/>
      <c r="AD23" s="35"/>
      <c r="AE23" s="35"/>
      <c r="AF23" s="35"/>
      <c r="AG23" s="35"/>
      <c r="AH23" s="146" t="b">
        <v>0</v>
      </c>
      <c r="AI23" s="35"/>
      <c r="AJ23" s="35"/>
      <c r="AK23" s="32"/>
      <c r="AL23" s="148" t="b">
        <v>0</v>
      </c>
      <c r="AM23" s="35"/>
      <c r="AN23" s="35"/>
      <c r="AO23" s="148" t="b">
        <v>0</v>
      </c>
      <c r="AP23" s="35"/>
      <c r="AQ23" s="32"/>
    </row>
    <row r="24" spans="1:43" ht="15.75" customHeight="1">
      <c r="A24" s="37" t="s">
        <v>51</v>
      </c>
      <c r="B24" s="38" t="s">
        <v>200</v>
      </c>
      <c r="C24" s="39" t="s">
        <v>166</v>
      </c>
      <c r="D24" s="38"/>
      <c r="E24" s="38" t="s">
        <v>93</v>
      </c>
      <c r="F24" s="38" t="s">
        <v>55</v>
      </c>
      <c r="G24" s="40" t="s">
        <v>70</v>
      </c>
      <c r="H24" s="38" t="s">
        <v>175</v>
      </c>
      <c r="I24" s="41" t="s">
        <v>201</v>
      </c>
      <c r="J24" s="38">
        <v>40.939440300000001</v>
      </c>
      <c r="K24" s="38">
        <v>-109.5930444</v>
      </c>
      <c r="L24" s="41" t="s">
        <v>202</v>
      </c>
      <c r="M24" s="42">
        <v>827</v>
      </c>
      <c r="N24" s="144" t="b">
        <v>1</v>
      </c>
      <c r="O24" s="38" t="s">
        <v>65</v>
      </c>
      <c r="P24" s="40" t="s">
        <v>65</v>
      </c>
      <c r="Q24" s="38" t="s">
        <v>203</v>
      </c>
      <c r="R24" s="38" t="s">
        <v>88</v>
      </c>
      <c r="S24" s="71" t="s">
        <v>204</v>
      </c>
      <c r="T24" s="38" t="s">
        <v>205</v>
      </c>
      <c r="U24" s="38" t="s">
        <v>86</v>
      </c>
      <c r="V24" s="145" t="b">
        <v>0</v>
      </c>
      <c r="W24" s="47"/>
      <c r="X24" s="48"/>
      <c r="Y24" s="149" t="b">
        <v>1</v>
      </c>
      <c r="Z24" s="149" t="b">
        <v>0</v>
      </c>
      <c r="AA24" s="46"/>
      <c r="AB24" s="38"/>
      <c r="AC24" s="38"/>
      <c r="AD24" s="49"/>
      <c r="AE24" s="49"/>
      <c r="AF24" s="49"/>
      <c r="AG24" s="49"/>
      <c r="AH24" s="145" t="b">
        <v>0</v>
      </c>
      <c r="AI24" s="49" t="s">
        <v>160</v>
      </c>
      <c r="AJ24" s="49"/>
      <c r="AK24" s="46"/>
      <c r="AL24" s="144" t="b">
        <v>1</v>
      </c>
      <c r="AM24" s="49">
        <v>1</v>
      </c>
      <c r="AN24" s="49" t="s">
        <v>14</v>
      </c>
      <c r="AO24" s="149" t="b">
        <v>0</v>
      </c>
      <c r="AP24" s="49" t="s">
        <v>161</v>
      </c>
      <c r="AQ24" s="46"/>
    </row>
    <row r="25" spans="1:43" ht="15.75" customHeight="1">
      <c r="A25" s="23" t="s">
        <v>51</v>
      </c>
      <c r="B25" s="26" t="s">
        <v>206</v>
      </c>
      <c r="C25" s="52" t="s">
        <v>53</v>
      </c>
      <c r="D25" s="26"/>
      <c r="E25" s="24" t="s">
        <v>93</v>
      </c>
      <c r="F25" s="24" t="s">
        <v>80</v>
      </c>
      <c r="G25" s="36" t="s">
        <v>70</v>
      </c>
      <c r="H25" s="26" t="s">
        <v>151</v>
      </c>
      <c r="I25" s="51" t="s">
        <v>207</v>
      </c>
      <c r="J25" s="26">
        <v>35.245060700000003</v>
      </c>
      <c r="K25" s="26">
        <v>-81.3410516</v>
      </c>
      <c r="L25" s="51" t="s">
        <v>208</v>
      </c>
      <c r="M25" s="28">
        <v>11142</v>
      </c>
      <c r="N25" s="144" t="b">
        <v>1</v>
      </c>
      <c r="O25" s="26" t="s">
        <v>65</v>
      </c>
      <c r="P25" s="36" t="s">
        <v>154</v>
      </c>
      <c r="Q25" s="24" t="s">
        <v>209</v>
      </c>
      <c r="R25" s="26" t="s">
        <v>88</v>
      </c>
      <c r="S25" s="31" t="s">
        <v>210</v>
      </c>
      <c r="T25" s="26" t="s">
        <v>209</v>
      </c>
      <c r="U25" s="26" t="s">
        <v>88</v>
      </c>
      <c r="V25" s="147" t="b">
        <v>1</v>
      </c>
      <c r="W25" s="68">
        <v>420</v>
      </c>
      <c r="X25" s="34">
        <v>10</v>
      </c>
      <c r="Y25" s="148" t="b">
        <v>1</v>
      </c>
      <c r="Z25" s="144" t="b">
        <v>1</v>
      </c>
      <c r="AA25" s="32" t="s">
        <v>65</v>
      </c>
      <c r="AB25" s="26">
        <v>2</v>
      </c>
      <c r="AC25" s="24" t="s">
        <v>211</v>
      </c>
      <c r="AD25" s="35" t="s">
        <v>212</v>
      </c>
      <c r="AE25" s="29" t="s">
        <v>158</v>
      </c>
      <c r="AF25" s="35">
        <v>260</v>
      </c>
      <c r="AG25" s="35" t="s">
        <v>213</v>
      </c>
      <c r="AH25" s="146" t="b">
        <v>0</v>
      </c>
      <c r="AI25" s="35" t="s">
        <v>160</v>
      </c>
      <c r="AJ25" s="35" t="s">
        <v>65</v>
      </c>
      <c r="AK25" s="32">
        <v>2015</v>
      </c>
      <c r="AL25" s="148" t="b">
        <v>0</v>
      </c>
      <c r="AM25" s="35"/>
      <c r="AN25" s="35"/>
      <c r="AO25" s="148" t="b">
        <v>0</v>
      </c>
      <c r="AP25" s="35"/>
      <c r="AQ25" s="32"/>
    </row>
    <row r="26" spans="1:43" ht="15.75" customHeight="1">
      <c r="A26" s="37" t="s">
        <v>51</v>
      </c>
      <c r="B26" s="38" t="s">
        <v>214</v>
      </c>
      <c r="C26" s="39" t="s">
        <v>53</v>
      </c>
      <c r="D26" s="38"/>
      <c r="E26" s="38" t="s">
        <v>54</v>
      </c>
      <c r="F26" s="24" t="s">
        <v>55</v>
      </c>
      <c r="G26" s="27" t="s">
        <v>56</v>
      </c>
      <c r="H26" s="38" t="s">
        <v>57</v>
      </c>
      <c r="I26" s="38" t="s">
        <v>127</v>
      </c>
      <c r="J26" s="38">
        <v>36.208730099999997</v>
      </c>
      <c r="K26" s="38">
        <v>-115.98461399999999</v>
      </c>
      <c r="L26" s="38" t="s">
        <v>215</v>
      </c>
      <c r="M26" s="42">
        <v>44738</v>
      </c>
      <c r="N26" s="144" t="b">
        <v>1</v>
      </c>
      <c r="O26" s="38" t="s">
        <v>216</v>
      </c>
      <c r="P26" s="40" t="s">
        <v>217</v>
      </c>
      <c r="Q26" s="38" t="s">
        <v>218</v>
      </c>
      <c r="R26" s="38" t="s">
        <v>63</v>
      </c>
      <c r="S26" s="64" t="s">
        <v>219</v>
      </c>
      <c r="T26" s="38"/>
      <c r="U26" s="38"/>
      <c r="V26" s="145" t="b">
        <v>0</v>
      </c>
      <c r="W26" s="47"/>
      <c r="X26" s="48"/>
      <c r="Y26" s="149" t="b">
        <v>0</v>
      </c>
      <c r="Z26" s="149" t="b">
        <v>0</v>
      </c>
      <c r="AA26" s="46" t="s">
        <v>65</v>
      </c>
      <c r="AB26" s="38"/>
      <c r="AC26" s="38"/>
      <c r="AD26" s="49"/>
      <c r="AE26" s="49"/>
      <c r="AF26" s="49"/>
      <c r="AG26" s="49"/>
      <c r="AH26" s="145" t="b">
        <v>0</v>
      </c>
      <c r="AI26" s="29" t="s">
        <v>66</v>
      </c>
      <c r="AJ26" s="49" t="s">
        <v>67</v>
      </c>
      <c r="AK26" s="46"/>
      <c r="AL26" s="144" t="b">
        <v>1</v>
      </c>
      <c r="AM26" s="49">
        <v>1</v>
      </c>
      <c r="AN26" s="49"/>
      <c r="AO26" s="149" t="b">
        <v>1</v>
      </c>
      <c r="AP26" s="49"/>
      <c r="AQ26" s="46"/>
    </row>
    <row r="27" spans="1:43" ht="15" customHeight="1">
      <c r="A27" s="50" t="s">
        <v>51</v>
      </c>
      <c r="B27" s="51" t="s">
        <v>220</v>
      </c>
      <c r="C27" s="52" t="s">
        <v>166</v>
      </c>
      <c r="D27" s="26"/>
      <c r="E27" s="26" t="s">
        <v>54</v>
      </c>
      <c r="F27" s="24" t="s">
        <v>80</v>
      </c>
      <c r="G27" s="27" t="s">
        <v>56</v>
      </c>
      <c r="H27" s="51" t="s">
        <v>175</v>
      </c>
      <c r="I27" s="26" t="s">
        <v>221</v>
      </c>
      <c r="J27" s="26">
        <v>41.511043399999998</v>
      </c>
      <c r="K27" s="26">
        <v>-112.0154991</v>
      </c>
      <c r="L27" s="26" t="s">
        <v>222</v>
      </c>
      <c r="M27" s="28">
        <v>19650</v>
      </c>
      <c r="N27" s="144" t="b">
        <v>1</v>
      </c>
      <c r="O27" s="26" t="s">
        <v>65</v>
      </c>
      <c r="P27" s="30" t="s">
        <v>178</v>
      </c>
      <c r="Q27" s="26" t="s">
        <v>223</v>
      </c>
      <c r="R27" s="51" t="s">
        <v>88</v>
      </c>
      <c r="S27" s="31" t="s">
        <v>224</v>
      </c>
      <c r="T27" s="51" t="s">
        <v>225</v>
      </c>
      <c r="U27" s="51" t="s">
        <v>88</v>
      </c>
      <c r="V27" s="146" t="b">
        <v>0</v>
      </c>
      <c r="W27" s="61">
        <v>3.5</v>
      </c>
      <c r="X27" s="34"/>
      <c r="Y27" s="148" t="b">
        <v>1</v>
      </c>
      <c r="Z27" s="148" t="b">
        <v>1</v>
      </c>
      <c r="AA27" s="32" t="s">
        <v>65</v>
      </c>
      <c r="AB27" s="26">
        <v>1</v>
      </c>
      <c r="AC27" s="24" t="s">
        <v>148</v>
      </c>
      <c r="AD27" s="35">
        <v>2022</v>
      </c>
      <c r="AE27" s="35" t="s">
        <v>158</v>
      </c>
      <c r="AF27" s="35">
        <v>50</v>
      </c>
      <c r="AG27" s="35" t="s">
        <v>226</v>
      </c>
      <c r="AH27" s="147" t="b">
        <v>1</v>
      </c>
      <c r="AI27" s="35" t="s">
        <v>66</v>
      </c>
      <c r="AJ27" s="35" t="s">
        <v>14</v>
      </c>
      <c r="AK27" s="32"/>
      <c r="AL27" s="148" t="b">
        <v>0</v>
      </c>
      <c r="AM27" s="35"/>
      <c r="AN27" s="35"/>
      <c r="AO27" s="148" t="b">
        <v>0</v>
      </c>
      <c r="AP27" s="35"/>
      <c r="AQ27" s="32"/>
    </row>
    <row r="28" spans="1:43" ht="15.75" customHeight="1">
      <c r="A28" s="54" t="s">
        <v>51</v>
      </c>
      <c r="B28" s="41" t="s">
        <v>227</v>
      </c>
      <c r="C28" s="25" t="s">
        <v>170</v>
      </c>
      <c r="D28" s="41" t="s">
        <v>228</v>
      </c>
      <c r="E28" s="24" t="s">
        <v>93</v>
      </c>
      <c r="F28" s="24" t="s">
        <v>55</v>
      </c>
      <c r="G28" s="40" t="s">
        <v>70</v>
      </c>
      <c r="H28" s="41" t="s">
        <v>175</v>
      </c>
      <c r="I28" s="38" t="s">
        <v>229</v>
      </c>
      <c r="J28" s="38">
        <v>40.737401400000003</v>
      </c>
      <c r="K28" s="38">
        <v>-114.0304541</v>
      </c>
      <c r="L28" s="41" t="s">
        <v>230</v>
      </c>
      <c r="M28" s="42">
        <v>1115</v>
      </c>
      <c r="N28" s="144" t="b">
        <v>1</v>
      </c>
      <c r="O28" s="41" t="s">
        <v>231</v>
      </c>
      <c r="P28" s="43" t="s">
        <v>232</v>
      </c>
      <c r="Q28" s="58" t="s">
        <v>233</v>
      </c>
      <c r="R28" s="41" t="s">
        <v>63</v>
      </c>
      <c r="S28" s="64" t="s">
        <v>234</v>
      </c>
      <c r="T28" s="38"/>
      <c r="U28" s="41"/>
      <c r="V28" s="145" t="b">
        <v>0</v>
      </c>
      <c r="W28" s="47"/>
      <c r="X28" s="48"/>
      <c r="Y28" s="149" t="b">
        <v>0</v>
      </c>
      <c r="Z28" s="149" t="b">
        <v>0</v>
      </c>
      <c r="AA28" s="46" t="s">
        <v>65</v>
      </c>
      <c r="AB28" s="38"/>
      <c r="AC28" s="38"/>
      <c r="AD28" s="49"/>
      <c r="AE28" s="49"/>
      <c r="AF28" s="49"/>
      <c r="AG28" s="49"/>
      <c r="AH28" s="145" t="b">
        <v>0</v>
      </c>
      <c r="AI28" s="29" t="s">
        <v>66</v>
      </c>
      <c r="AJ28" s="49" t="s">
        <v>67</v>
      </c>
      <c r="AK28" s="46"/>
      <c r="AL28" s="149" t="b">
        <v>0</v>
      </c>
      <c r="AM28" s="49"/>
      <c r="AN28" s="49"/>
      <c r="AO28" s="149" t="b">
        <v>0</v>
      </c>
      <c r="AP28" s="49"/>
      <c r="AQ28" s="46"/>
    </row>
    <row r="29" spans="1:43" ht="15.75" customHeight="1">
      <c r="A29" s="50" t="s">
        <v>51</v>
      </c>
      <c r="B29" s="51" t="s">
        <v>235</v>
      </c>
      <c r="C29" s="25" t="s">
        <v>53</v>
      </c>
      <c r="D29" s="51"/>
      <c r="E29" s="26" t="s">
        <v>54</v>
      </c>
      <c r="F29" s="24" t="s">
        <v>55</v>
      </c>
      <c r="G29" s="36" t="s">
        <v>70</v>
      </c>
      <c r="H29" s="51" t="s">
        <v>134</v>
      </c>
      <c r="I29" s="26" t="s">
        <v>236</v>
      </c>
      <c r="J29" s="26">
        <v>42.014929600000002</v>
      </c>
      <c r="K29" s="26">
        <v>-117.7267466</v>
      </c>
      <c r="L29" s="51" t="s">
        <v>237</v>
      </c>
      <c r="M29" s="28">
        <v>124</v>
      </c>
      <c r="N29" s="144" t="b">
        <v>1</v>
      </c>
      <c r="O29" s="51" t="s">
        <v>65</v>
      </c>
      <c r="P29" s="30" t="s">
        <v>65</v>
      </c>
      <c r="Q29" s="51" t="s">
        <v>238</v>
      </c>
      <c r="R29" s="51" t="s">
        <v>86</v>
      </c>
      <c r="S29" s="72" t="s">
        <v>239</v>
      </c>
      <c r="T29" s="51" t="s">
        <v>238</v>
      </c>
      <c r="U29" s="51" t="s">
        <v>86</v>
      </c>
      <c r="V29" s="147" t="b">
        <v>1</v>
      </c>
      <c r="W29" s="33">
        <v>47.5</v>
      </c>
      <c r="X29" s="34">
        <v>63</v>
      </c>
      <c r="Y29" s="148" t="b">
        <v>1</v>
      </c>
      <c r="Z29" s="144" t="b">
        <v>1</v>
      </c>
      <c r="AA29" s="32">
        <v>3020</v>
      </c>
      <c r="AB29" s="26"/>
      <c r="AC29" s="26"/>
      <c r="AD29" s="35"/>
      <c r="AE29" s="35"/>
      <c r="AF29" s="35"/>
      <c r="AG29" s="35"/>
      <c r="AH29" s="146" t="b">
        <v>0</v>
      </c>
      <c r="AI29" s="29" t="s">
        <v>66</v>
      </c>
      <c r="AJ29" s="35" t="s">
        <v>67</v>
      </c>
      <c r="AK29" s="32">
        <v>2018</v>
      </c>
      <c r="AL29" s="148" t="b">
        <v>0</v>
      </c>
      <c r="AM29" s="35"/>
      <c r="AN29" s="35"/>
      <c r="AO29" s="148" t="b">
        <v>0</v>
      </c>
      <c r="AP29" s="35"/>
      <c r="AQ29" s="32"/>
    </row>
    <row r="30" spans="1:43" ht="15.75" customHeight="1">
      <c r="A30" s="54" t="s">
        <v>51</v>
      </c>
      <c r="B30" s="41" t="s">
        <v>240</v>
      </c>
      <c r="C30" s="39" t="s">
        <v>53</v>
      </c>
      <c r="D30" s="38"/>
      <c r="E30" s="38" t="s">
        <v>54</v>
      </c>
      <c r="F30" s="38" t="s">
        <v>55</v>
      </c>
      <c r="G30" s="40" t="s">
        <v>70</v>
      </c>
      <c r="H30" s="41" t="s">
        <v>57</v>
      </c>
      <c r="I30" s="41" t="s">
        <v>58</v>
      </c>
      <c r="J30" s="38">
        <v>38.100062999999999</v>
      </c>
      <c r="K30" s="38">
        <v>-117.2250609</v>
      </c>
      <c r="L30" s="41" t="s">
        <v>171</v>
      </c>
      <c r="M30" s="42">
        <v>2009</v>
      </c>
      <c r="N30" s="144" t="b">
        <v>1</v>
      </c>
      <c r="O30" s="41" t="s">
        <v>65</v>
      </c>
      <c r="P30" s="40" t="s">
        <v>65</v>
      </c>
      <c r="Q30" s="41" t="s">
        <v>241</v>
      </c>
      <c r="R30" s="38" t="s">
        <v>63</v>
      </c>
      <c r="S30" s="63" t="s">
        <v>242</v>
      </c>
      <c r="T30" s="41"/>
      <c r="U30" s="38"/>
      <c r="V30" s="145" t="b">
        <v>0</v>
      </c>
      <c r="W30" s="47"/>
      <c r="X30" s="48"/>
      <c r="Y30" s="149" t="b">
        <v>0</v>
      </c>
      <c r="Z30" s="149" t="b">
        <v>0</v>
      </c>
      <c r="AA30" s="46"/>
      <c r="AB30" s="38"/>
      <c r="AC30" s="38"/>
      <c r="AD30" s="49"/>
      <c r="AE30" s="49"/>
      <c r="AF30" s="49"/>
      <c r="AG30" s="49"/>
      <c r="AH30" s="145" t="b">
        <v>0</v>
      </c>
      <c r="AI30" s="49" t="s">
        <v>66</v>
      </c>
      <c r="AJ30" s="49" t="s">
        <v>67</v>
      </c>
      <c r="AK30" s="46"/>
      <c r="AL30" s="149" t="b">
        <v>0</v>
      </c>
      <c r="AM30" s="49"/>
      <c r="AN30" s="49"/>
      <c r="AO30" s="149" t="b">
        <v>0</v>
      </c>
      <c r="AP30" s="49"/>
      <c r="AQ30" s="46"/>
    </row>
    <row r="31" spans="1:43" ht="15.75" customHeight="1">
      <c r="A31" s="50" t="s">
        <v>51</v>
      </c>
      <c r="B31" s="51" t="s">
        <v>243</v>
      </c>
      <c r="C31" s="25" t="s">
        <v>69</v>
      </c>
      <c r="D31" s="26"/>
      <c r="E31" s="26" t="s">
        <v>54</v>
      </c>
      <c r="F31" s="24" t="s">
        <v>55</v>
      </c>
      <c r="G31" s="36" t="s">
        <v>70</v>
      </c>
      <c r="H31" s="51" t="s">
        <v>57</v>
      </c>
      <c r="I31" s="51" t="s">
        <v>127</v>
      </c>
      <c r="J31" s="51">
        <v>38.069211000000003</v>
      </c>
      <c r="K31" s="51">
        <v>-117.2305861</v>
      </c>
      <c r="L31" s="51" t="s">
        <v>171</v>
      </c>
      <c r="M31" s="28">
        <v>2478</v>
      </c>
      <c r="N31" s="144" t="b">
        <v>1</v>
      </c>
      <c r="O31" s="51" t="s">
        <v>65</v>
      </c>
      <c r="P31" s="36" t="s">
        <v>65</v>
      </c>
      <c r="Q31" s="58" t="s">
        <v>183</v>
      </c>
      <c r="R31" s="26" t="s">
        <v>88</v>
      </c>
      <c r="S31" s="73" t="s">
        <v>244</v>
      </c>
      <c r="T31" s="51"/>
      <c r="U31" s="26"/>
      <c r="V31" s="146" t="b">
        <v>0</v>
      </c>
      <c r="W31" s="33"/>
      <c r="X31" s="34"/>
      <c r="Y31" s="148" t="b">
        <v>0</v>
      </c>
      <c r="Z31" s="148" t="b">
        <v>0</v>
      </c>
      <c r="AA31" s="32"/>
      <c r="AB31" s="26"/>
      <c r="AC31" s="26"/>
      <c r="AD31" s="35"/>
      <c r="AE31" s="35"/>
      <c r="AF31" s="35"/>
      <c r="AG31" s="35"/>
      <c r="AH31" s="146" t="b">
        <v>0</v>
      </c>
      <c r="AI31" s="29" t="s">
        <v>66</v>
      </c>
      <c r="AJ31" s="35" t="s">
        <v>67</v>
      </c>
      <c r="AK31" s="32"/>
      <c r="AL31" s="148" t="b">
        <v>0</v>
      </c>
      <c r="AM31" s="35"/>
      <c r="AN31" s="35"/>
      <c r="AO31" s="148" t="b">
        <v>0</v>
      </c>
      <c r="AP31" s="35"/>
      <c r="AQ31" s="32"/>
    </row>
    <row r="32" spans="1:43" ht="15.75" customHeight="1">
      <c r="A32" s="54" t="s">
        <v>51</v>
      </c>
      <c r="B32" s="44" t="s">
        <v>245</v>
      </c>
      <c r="C32" s="39" t="s">
        <v>53</v>
      </c>
      <c r="D32" s="38"/>
      <c r="E32" s="38" t="s">
        <v>54</v>
      </c>
      <c r="F32" s="24" t="s">
        <v>126</v>
      </c>
      <c r="G32" s="40" t="s">
        <v>70</v>
      </c>
      <c r="H32" s="41" t="s">
        <v>141</v>
      </c>
      <c r="I32" s="41" t="s">
        <v>246</v>
      </c>
      <c r="J32" s="41">
        <v>36.341777</v>
      </c>
      <c r="K32" s="41">
        <v>-117.39882</v>
      </c>
      <c r="L32" s="41" t="s">
        <v>215</v>
      </c>
      <c r="M32" s="42">
        <v>44738</v>
      </c>
      <c r="N32" s="144" t="b">
        <v>1</v>
      </c>
      <c r="O32" s="41" t="s">
        <v>65</v>
      </c>
      <c r="P32" s="40" t="s">
        <v>217</v>
      </c>
      <c r="Q32" s="41" t="s">
        <v>247</v>
      </c>
      <c r="R32" s="38" t="s">
        <v>76</v>
      </c>
      <c r="S32" s="64" t="s">
        <v>248</v>
      </c>
      <c r="T32" s="58" t="s">
        <v>249</v>
      </c>
      <c r="U32" s="38" t="s">
        <v>76</v>
      </c>
      <c r="V32" s="145" t="b">
        <v>0</v>
      </c>
      <c r="W32" s="47"/>
      <c r="X32" s="48"/>
      <c r="Y32" s="149" t="b">
        <v>0</v>
      </c>
      <c r="Z32" s="149" t="b">
        <v>0</v>
      </c>
      <c r="AA32" s="46" t="s">
        <v>65</v>
      </c>
      <c r="AB32" s="38"/>
      <c r="AC32" s="38"/>
      <c r="AD32" s="49"/>
      <c r="AE32" s="49"/>
      <c r="AF32" s="49"/>
      <c r="AG32" s="49"/>
      <c r="AH32" s="145" t="b">
        <v>0</v>
      </c>
      <c r="AI32" s="49" t="s">
        <v>66</v>
      </c>
      <c r="AJ32" s="49" t="s">
        <v>67</v>
      </c>
      <c r="AK32" s="46"/>
      <c r="AL32" s="149" t="b">
        <v>0</v>
      </c>
      <c r="AM32" s="49"/>
      <c r="AN32" s="49"/>
      <c r="AO32" s="149" t="b">
        <v>0</v>
      </c>
      <c r="AP32" s="49"/>
      <c r="AQ32" s="46"/>
    </row>
    <row r="33" spans="1:43" ht="15.75" customHeight="1">
      <c r="A33" s="74" t="s">
        <v>51</v>
      </c>
      <c r="B33" s="26" t="s">
        <v>250</v>
      </c>
      <c r="C33" s="52" t="s">
        <v>166</v>
      </c>
      <c r="D33" s="26" t="s">
        <v>251</v>
      </c>
      <c r="E33" s="26" t="s">
        <v>54</v>
      </c>
      <c r="F33" s="24" t="s">
        <v>126</v>
      </c>
      <c r="G33" s="27" t="s">
        <v>56</v>
      </c>
      <c r="H33" s="26" t="s">
        <v>175</v>
      </c>
      <c r="I33" s="26" t="s">
        <v>201</v>
      </c>
      <c r="J33" s="26">
        <v>40.939440300000001</v>
      </c>
      <c r="K33" s="26">
        <v>-109.5930444</v>
      </c>
      <c r="L33" s="26" t="s">
        <v>252</v>
      </c>
      <c r="M33" s="28">
        <v>847</v>
      </c>
      <c r="N33" s="144" t="b">
        <v>1</v>
      </c>
      <c r="O33" s="26" t="s">
        <v>65</v>
      </c>
      <c r="P33" s="36" t="s">
        <v>253</v>
      </c>
      <c r="Q33" s="24" t="s">
        <v>205</v>
      </c>
      <c r="R33" s="26" t="s">
        <v>86</v>
      </c>
      <c r="S33" s="31" t="s">
        <v>254</v>
      </c>
      <c r="T33" s="26"/>
      <c r="U33" s="26"/>
      <c r="V33" s="146" t="b">
        <v>0</v>
      </c>
      <c r="W33" s="33">
        <v>14</v>
      </c>
      <c r="X33" s="34">
        <v>23</v>
      </c>
      <c r="Y33" s="148" t="b">
        <v>1</v>
      </c>
      <c r="Z33" s="144" t="b">
        <v>1</v>
      </c>
      <c r="AA33" s="32">
        <v>495</v>
      </c>
      <c r="AB33" s="26"/>
      <c r="AC33" s="26"/>
      <c r="AD33" s="35"/>
      <c r="AE33" s="35"/>
      <c r="AF33" s="35"/>
      <c r="AG33" s="35"/>
      <c r="AH33" s="147" t="b">
        <v>1</v>
      </c>
      <c r="AI33" s="35" t="s">
        <v>101</v>
      </c>
      <c r="AJ33" s="35" t="s">
        <v>78</v>
      </c>
      <c r="AK33" s="32"/>
      <c r="AL33" s="144" t="b">
        <v>1</v>
      </c>
      <c r="AM33" s="35">
        <v>1</v>
      </c>
      <c r="AN33" s="35" t="s">
        <v>44</v>
      </c>
      <c r="AO33" s="148" t="b">
        <v>0</v>
      </c>
      <c r="AP33" s="35" t="s">
        <v>161</v>
      </c>
      <c r="AQ33" s="32"/>
    </row>
    <row r="34" spans="1:43" ht="15.75" customHeight="1">
      <c r="A34" s="37" t="s">
        <v>51</v>
      </c>
      <c r="B34" s="38" t="s">
        <v>255</v>
      </c>
      <c r="C34" s="39" t="s">
        <v>53</v>
      </c>
      <c r="D34" s="38" t="s">
        <v>125</v>
      </c>
      <c r="E34" s="24" t="s">
        <v>54</v>
      </c>
      <c r="F34" s="24" t="s">
        <v>126</v>
      </c>
      <c r="G34" s="27" t="s">
        <v>56</v>
      </c>
      <c r="H34" s="38" t="s">
        <v>57</v>
      </c>
      <c r="I34" s="38" t="s">
        <v>58</v>
      </c>
      <c r="J34" s="38">
        <v>37.667780700000002</v>
      </c>
      <c r="K34" s="38">
        <v>-118.067502</v>
      </c>
      <c r="L34" s="38" t="s">
        <v>182</v>
      </c>
      <c r="M34" s="42">
        <v>232</v>
      </c>
      <c r="N34" s="144" t="b">
        <v>1</v>
      </c>
      <c r="O34" s="38" t="s">
        <v>60</v>
      </c>
      <c r="P34" s="43" t="s">
        <v>61</v>
      </c>
      <c r="Q34" s="24" t="s">
        <v>256</v>
      </c>
      <c r="R34" s="38" t="s">
        <v>86</v>
      </c>
      <c r="S34" s="64" t="s">
        <v>257</v>
      </c>
      <c r="T34" s="38" t="s">
        <v>256</v>
      </c>
      <c r="U34" s="38" t="s">
        <v>86</v>
      </c>
      <c r="V34" s="145" t="b">
        <v>1</v>
      </c>
      <c r="W34" s="47">
        <v>24</v>
      </c>
      <c r="X34" s="48"/>
      <c r="Y34" s="144" t="b">
        <v>1</v>
      </c>
      <c r="Z34" s="149" t="b">
        <v>1</v>
      </c>
      <c r="AA34" s="46">
        <v>785</v>
      </c>
      <c r="AB34" s="38">
        <v>1</v>
      </c>
      <c r="AC34" s="24" t="s">
        <v>148</v>
      </c>
      <c r="AD34" s="49">
        <v>2023</v>
      </c>
      <c r="AE34" s="49" t="s">
        <v>192</v>
      </c>
      <c r="AF34" s="49">
        <v>700</v>
      </c>
      <c r="AG34" s="49" t="s">
        <v>193</v>
      </c>
      <c r="AH34" s="147" t="b">
        <v>1</v>
      </c>
      <c r="AI34" s="49" t="s">
        <v>66</v>
      </c>
      <c r="AJ34" s="49" t="s">
        <v>67</v>
      </c>
      <c r="AK34" s="46"/>
      <c r="AL34" s="144" t="b">
        <v>1</v>
      </c>
      <c r="AM34" s="49">
        <v>2</v>
      </c>
      <c r="AN34" s="49" t="s">
        <v>44</v>
      </c>
      <c r="AO34" s="144" t="b">
        <v>1</v>
      </c>
      <c r="AP34" s="49" t="s">
        <v>161</v>
      </c>
      <c r="AQ34" s="75" t="s">
        <v>258</v>
      </c>
    </row>
    <row r="35" spans="1:43" ht="15.75" customHeight="1">
      <c r="A35" s="23" t="s">
        <v>51</v>
      </c>
      <c r="B35" s="26" t="s">
        <v>259</v>
      </c>
      <c r="C35" s="52" t="s">
        <v>53</v>
      </c>
      <c r="D35" s="26" t="s">
        <v>260</v>
      </c>
      <c r="E35" s="26" t="s">
        <v>54</v>
      </c>
      <c r="F35" s="24" t="s">
        <v>55</v>
      </c>
      <c r="G35" s="36" t="s">
        <v>70</v>
      </c>
      <c r="H35" s="26" t="s">
        <v>261</v>
      </c>
      <c r="I35" s="26" t="s">
        <v>262</v>
      </c>
      <c r="J35" s="26">
        <v>31.1778312</v>
      </c>
      <c r="K35" s="26">
        <v>-105.35762699999999</v>
      </c>
      <c r="L35" s="26" t="s">
        <v>263</v>
      </c>
      <c r="M35" s="28">
        <v>315</v>
      </c>
      <c r="N35" s="144" t="b">
        <v>1</v>
      </c>
      <c r="O35" s="26" t="s">
        <v>65</v>
      </c>
      <c r="P35" s="36" t="s">
        <v>264</v>
      </c>
      <c r="Q35" s="26" t="s">
        <v>265</v>
      </c>
      <c r="R35" s="26" t="s">
        <v>86</v>
      </c>
      <c r="S35" s="31" t="s">
        <v>266</v>
      </c>
      <c r="T35" s="24" t="s">
        <v>267</v>
      </c>
      <c r="U35" s="26" t="s">
        <v>88</v>
      </c>
      <c r="V35" s="146" t="b">
        <v>0</v>
      </c>
      <c r="W35" s="33">
        <v>10.8</v>
      </c>
      <c r="X35" s="34">
        <v>20</v>
      </c>
      <c r="Y35" s="144" t="b">
        <v>1</v>
      </c>
      <c r="Z35" s="148" t="b">
        <v>1</v>
      </c>
      <c r="AA35" s="32">
        <v>354</v>
      </c>
      <c r="AB35" s="26"/>
      <c r="AC35" s="26"/>
      <c r="AD35" s="35"/>
      <c r="AE35" s="35"/>
      <c r="AF35" s="35"/>
      <c r="AG35" s="35"/>
      <c r="AH35" s="146" t="b">
        <v>0</v>
      </c>
      <c r="AI35" s="29" t="s">
        <v>66</v>
      </c>
      <c r="AJ35" s="35" t="s">
        <v>14</v>
      </c>
      <c r="AK35" s="32"/>
      <c r="AL35" s="148" t="b">
        <v>1</v>
      </c>
      <c r="AM35" s="35"/>
      <c r="AN35" s="35"/>
      <c r="AO35" s="148" t="b">
        <v>0</v>
      </c>
      <c r="AP35" s="35"/>
      <c r="AQ35" s="32"/>
    </row>
    <row r="36" spans="1:43" ht="15.75" customHeight="1">
      <c r="A36" s="54" t="s">
        <v>51</v>
      </c>
      <c r="B36" s="41" t="s">
        <v>268</v>
      </c>
      <c r="C36" s="25" t="s">
        <v>166</v>
      </c>
      <c r="D36" s="24" t="s">
        <v>269</v>
      </c>
      <c r="E36" s="38" t="s">
        <v>54</v>
      </c>
      <c r="F36" s="24" t="s">
        <v>126</v>
      </c>
      <c r="G36" s="40" t="s">
        <v>70</v>
      </c>
      <c r="H36" s="41" t="s">
        <v>141</v>
      </c>
      <c r="I36" s="41" t="s">
        <v>270</v>
      </c>
      <c r="J36" s="38">
        <v>33.125577300000003</v>
      </c>
      <c r="K36" s="38">
        <v>-115.5140272</v>
      </c>
      <c r="L36" s="41" t="s">
        <v>271</v>
      </c>
      <c r="M36" s="42">
        <v>6515</v>
      </c>
      <c r="N36" s="144" t="b">
        <v>1</v>
      </c>
      <c r="O36" s="41" t="s">
        <v>65</v>
      </c>
      <c r="P36" s="40" t="s">
        <v>272</v>
      </c>
      <c r="Q36" s="41" t="s">
        <v>273</v>
      </c>
      <c r="R36" s="38" t="s">
        <v>88</v>
      </c>
      <c r="S36" s="64" t="s">
        <v>274</v>
      </c>
      <c r="T36" s="41" t="s">
        <v>273</v>
      </c>
      <c r="U36" s="38" t="s">
        <v>88</v>
      </c>
      <c r="V36" s="145" t="b">
        <v>0</v>
      </c>
      <c r="W36" s="76">
        <v>20</v>
      </c>
      <c r="X36" s="48"/>
      <c r="Y36" s="144" t="b">
        <v>1</v>
      </c>
      <c r="Z36" s="149" t="b">
        <v>1</v>
      </c>
      <c r="AA36" s="46">
        <v>661</v>
      </c>
      <c r="AB36" s="38">
        <v>1</v>
      </c>
      <c r="AC36" s="24" t="s">
        <v>148</v>
      </c>
      <c r="AD36" s="49">
        <v>2025</v>
      </c>
      <c r="AE36" s="49" t="s">
        <v>192</v>
      </c>
      <c r="AF36" s="49">
        <f>1220+141</f>
        <v>1361</v>
      </c>
      <c r="AG36" s="49" t="s">
        <v>275</v>
      </c>
      <c r="AH36" s="145" t="b">
        <v>1</v>
      </c>
      <c r="AI36" s="49" t="s">
        <v>160</v>
      </c>
      <c r="AJ36" s="49" t="s">
        <v>14</v>
      </c>
      <c r="AK36" s="46">
        <v>2012</v>
      </c>
      <c r="AL36" s="149" t="b">
        <v>0</v>
      </c>
      <c r="AM36" s="49"/>
      <c r="AN36" s="49"/>
      <c r="AO36" s="149" t="b">
        <v>0</v>
      </c>
      <c r="AP36" s="49"/>
      <c r="AQ36" s="46"/>
    </row>
    <row r="37" spans="1:43" ht="15.75" customHeight="1">
      <c r="A37" s="50" t="s">
        <v>51</v>
      </c>
      <c r="B37" s="51" t="s">
        <v>276</v>
      </c>
      <c r="C37" s="25" t="s">
        <v>166</v>
      </c>
      <c r="D37" s="26"/>
      <c r="E37" s="26" t="s">
        <v>54</v>
      </c>
      <c r="F37" s="24" t="s">
        <v>80</v>
      </c>
      <c r="G37" s="36" t="s">
        <v>70</v>
      </c>
      <c r="H37" s="51" t="s">
        <v>141</v>
      </c>
      <c r="I37" s="51" t="s">
        <v>270</v>
      </c>
      <c r="J37" s="26">
        <v>33.125577300000003</v>
      </c>
      <c r="K37" s="26">
        <v>-115.5140272</v>
      </c>
      <c r="L37" s="51" t="s">
        <v>271</v>
      </c>
      <c r="M37" s="28">
        <v>6515</v>
      </c>
      <c r="N37" s="144" t="b">
        <v>1</v>
      </c>
      <c r="O37" s="51" t="s">
        <v>65</v>
      </c>
      <c r="P37" s="36" t="s">
        <v>272</v>
      </c>
      <c r="Q37" s="51" t="s">
        <v>277</v>
      </c>
      <c r="R37" s="26" t="s">
        <v>88</v>
      </c>
      <c r="S37" s="31" t="s">
        <v>278</v>
      </c>
      <c r="T37" s="51" t="s">
        <v>279</v>
      </c>
      <c r="U37" s="26" t="s">
        <v>88</v>
      </c>
      <c r="V37" s="146" t="b">
        <v>0</v>
      </c>
      <c r="W37" s="33">
        <v>99.2</v>
      </c>
      <c r="X37" s="34"/>
      <c r="Y37" s="148" t="b">
        <v>1</v>
      </c>
      <c r="Z37" s="144" t="b">
        <v>1</v>
      </c>
      <c r="AA37" s="32" t="s">
        <v>65</v>
      </c>
      <c r="AB37" s="26">
        <v>1</v>
      </c>
      <c r="AC37" s="24" t="s">
        <v>148</v>
      </c>
      <c r="AD37" s="35">
        <v>2021</v>
      </c>
      <c r="AE37" s="35" t="s">
        <v>158</v>
      </c>
      <c r="AF37" s="35">
        <v>80</v>
      </c>
      <c r="AG37" s="35" t="s">
        <v>280</v>
      </c>
      <c r="AH37" s="146" t="b">
        <v>0</v>
      </c>
      <c r="AI37" s="35" t="s">
        <v>160</v>
      </c>
      <c r="AJ37" s="35" t="s">
        <v>14</v>
      </c>
      <c r="AK37" s="32"/>
      <c r="AL37" s="148" t="b">
        <v>0</v>
      </c>
      <c r="AM37" s="35"/>
      <c r="AN37" s="35"/>
      <c r="AO37" s="148" t="b">
        <v>0</v>
      </c>
      <c r="AP37" s="35"/>
      <c r="AQ37" s="32"/>
    </row>
    <row r="38" spans="1:43" ht="16.5" customHeight="1">
      <c r="A38" s="54" t="s">
        <v>51</v>
      </c>
      <c r="B38" s="41" t="s">
        <v>281</v>
      </c>
      <c r="C38" s="25" t="s">
        <v>166</v>
      </c>
      <c r="D38" s="38"/>
      <c r="E38" s="38" t="s">
        <v>54</v>
      </c>
      <c r="F38" s="24" t="s">
        <v>126</v>
      </c>
      <c r="G38" s="40" t="s">
        <v>70</v>
      </c>
      <c r="H38" s="41" t="s">
        <v>141</v>
      </c>
      <c r="I38" s="41" t="s">
        <v>270</v>
      </c>
      <c r="J38" s="41">
        <v>33.24</v>
      </c>
      <c r="K38" s="41">
        <v>-115.518889</v>
      </c>
      <c r="L38" s="41" t="s">
        <v>282</v>
      </c>
      <c r="M38" s="42">
        <v>756</v>
      </c>
      <c r="N38" s="144" t="b">
        <v>1</v>
      </c>
      <c r="O38" s="41" t="s">
        <v>65</v>
      </c>
      <c r="P38" s="40" t="s">
        <v>272</v>
      </c>
      <c r="Q38" s="58" t="s">
        <v>283</v>
      </c>
      <c r="R38" s="38" t="s">
        <v>88</v>
      </c>
      <c r="S38" s="77" t="s">
        <v>284</v>
      </c>
      <c r="T38" s="41" t="s">
        <v>283</v>
      </c>
      <c r="U38" s="38" t="s">
        <v>88</v>
      </c>
      <c r="V38" s="145" t="b">
        <v>1</v>
      </c>
      <c r="W38" s="47">
        <v>330.7</v>
      </c>
      <c r="X38" s="48"/>
      <c r="Y38" s="149" t="b">
        <v>1</v>
      </c>
      <c r="Z38" s="149" t="b">
        <v>0</v>
      </c>
      <c r="AA38" s="46">
        <v>1850</v>
      </c>
      <c r="AB38" s="38"/>
      <c r="AC38" s="38"/>
      <c r="AD38" s="49"/>
      <c r="AE38" s="49"/>
      <c r="AF38" s="49"/>
      <c r="AG38" s="49" t="s">
        <v>285</v>
      </c>
      <c r="AH38" s="147" t="b">
        <v>1</v>
      </c>
      <c r="AI38" s="49" t="s">
        <v>160</v>
      </c>
      <c r="AJ38" s="49" t="s">
        <v>14</v>
      </c>
      <c r="AK38" s="46">
        <v>2020</v>
      </c>
      <c r="AL38" s="149" t="b">
        <v>1</v>
      </c>
      <c r="AM38" s="49">
        <v>2</v>
      </c>
      <c r="AN38" s="49"/>
      <c r="AO38" s="144" t="b">
        <v>1</v>
      </c>
      <c r="AP38" s="49"/>
      <c r="AQ38" s="78" t="s">
        <v>286</v>
      </c>
    </row>
    <row r="39" spans="1:43" ht="16.5" customHeight="1">
      <c r="A39" s="50" t="s">
        <v>51</v>
      </c>
      <c r="B39" s="51" t="s">
        <v>60</v>
      </c>
      <c r="C39" s="52" t="s">
        <v>170</v>
      </c>
      <c r="D39" s="51" t="s">
        <v>125</v>
      </c>
      <c r="E39" s="26" t="s">
        <v>287</v>
      </c>
      <c r="F39" s="24" t="s">
        <v>288</v>
      </c>
      <c r="G39" s="27" t="s">
        <v>56</v>
      </c>
      <c r="H39" s="51" t="s">
        <v>57</v>
      </c>
      <c r="I39" s="51" t="s">
        <v>58</v>
      </c>
      <c r="J39" s="26">
        <v>37.755278300000001</v>
      </c>
      <c r="K39" s="26">
        <v>-117.63417699999999</v>
      </c>
      <c r="L39" s="51" t="s">
        <v>59</v>
      </c>
      <c r="M39" s="28">
        <v>213</v>
      </c>
      <c r="N39" s="144" t="b">
        <v>1</v>
      </c>
      <c r="O39" s="51" t="s">
        <v>60</v>
      </c>
      <c r="P39" s="30" t="s">
        <v>61</v>
      </c>
      <c r="Q39" s="51" t="s">
        <v>209</v>
      </c>
      <c r="R39" s="51" t="s">
        <v>88</v>
      </c>
      <c r="S39" s="79" t="s">
        <v>210</v>
      </c>
      <c r="T39" s="51" t="s">
        <v>209</v>
      </c>
      <c r="U39" s="51" t="s">
        <v>88</v>
      </c>
      <c r="V39" s="146" t="b">
        <v>1</v>
      </c>
      <c r="W39" s="61">
        <v>5</v>
      </c>
      <c r="X39" s="34"/>
      <c r="Y39" s="148" t="b">
        <v>1</v>
      </c>
      <c r="Z39" s="144" t="b">
        <v>1</v>
      </c>
      <c r="AA39" s="60" t="s">
        <v>289</v>
      </c>
      <c r="AB39" s="26">
        <v>1</v>
      </c>
      <c r="AC39" s="24" t="s">
        <v>148</v>
      </c>
      <c r="AD39" s="35">
        <v>2022</v>
      </c>
      <c r="AE39" s="35" t="s">
        <v>158</v>
      </c>
      <c r="AF39" s="35">
        <v>150</v>
      </c>
      <c r="AG39" s="35" t="s">
        <v>193</v>
      </c>
      <c r="AH39" s="146" t="b">
        <v>0</v>
      </c>
      <c r="AI39" s="29" t="s">
        <v>101</v>
      </c>
      <c r="AJ39" s="35" t="s">
        <v>67</v>
      </c>
      <c r="AK39" s="62">
        <v>2015</v>
      </c>
      <c r="AL39" s="144" t="b">
        <v>1</v>
      </c>
      <c r="AM39" s="35"/>
      <c r="AN39" s="35"/>
      <c r="AO39" s="148" t="b">
        <v>0</v>
      </c>
      <c r="AP39" s="35"/>
      <c r="AQ39" s="32"/>
    </row>
    <row r="40" spans="1:43" ht="16.5" customHeight="1">
      <c r="A40" s="54" t="s">
        <v>51</v>
      </c>
      <c r="B40" s="58" t="s">
        <v>290</v>
      </c>
      <c r="C40" s="25" t="s">
        <v>166</v>
      </c>
      <c r="D40" s="38" t="s">
        <v>251</v>
      </c>
      <c r="E40" s="38" t="s">
        <v>287</v>
      </c>
      <c r="F40" s="24" t="s">
        <v>126</v>
      </c>
      <c r="G40" s="40" t="s">
        <v>70</v>
      </c>
      <c r="H40" s="41" t="s">
        <v>291</v>
      </c>
      <c r="I40" s="41" t="s">
        <v>292</v>
      </c>
      <c r="J40" s="38">
        <v>33.211508700000003</v>
      </c>
      <c r="K40" s="38">
        <v>-92.665014400000004</v>
      </c>
      <c r="L40" s="41" t="s">
        <v>293</v>
      </c>
      <c r="M40" s="42">
        <v>17755</v>
      </c>
      <c r="N40" s="144" t="b">
        <v>1</v>
      </c>
      <c r="O40" s="41" t="s">
        <v>65</v>
      </c>
      <c r="P40" s="43" t="s">
        <v>294</v>
      </c>
      <c r="Q40" s="41" t="s">
        <v>295</v>
      </c>
      <c r="R40" s="38" t="s">
        <v>63</v>
      </c>
      <c r="S40" s="64" t="s">
        <v>296</v>
      </c>
      <c r="T40" s="41" t="s">
        <v>297</v>
      </c>
      <c r="U40" s="38" t="s">
        <v>63</v>
      </c>
      <c r="V40" s="145" t="b">
        <v>0</v>
      </c>
      <c r="W40" s="47">
        <v>23</v>
      </c>
      <c r="X40" s="48"/>
      <c r="Y40" s="144" t="b">
        <v>1</v>
      </c>
      <c r="Z40" s="149" t="b">
        <v>0</v>
      </c>
      <c r="AA40" s="46">
        <v>437</v>
      </c>
      <c r="AB40" s="38">
        <v>1</v>
      </c>
      <c r="AC40" s="24" t="s">
        <v>148</v>
      </c>
      <c r="AD40" s="49">
        <v>2025</v>
      </c>
      <c r="AE40" s="49" t="s">
        <v>158</v>
      </c>
      <c r="AF40" s="49">
        <v>225</v>
      </c>
      <c r="AG40" s="49" t="s">
        <v>298</v>
      </c>
      <c r="AH40" s="145" t="b">
        <v>0</v>
      </c>
      <c r="AI40" s="29" t="s">
        <v>160</v>
      </c>
      <c r="AJ40" s="49" t="s">
        <v>65</v>
      </c>
      <c r="AK40" s="46">
        <v>2019</v>
      </c>
      <c r="AL40" s="149" t="b">
        <v>0</v>
      </c>
      <c r="AM40" s="49"/>
      <c r="AN40" s="49"/>
      <c r="AO40" s="149" t="b">
        <v>0</v>
      </c>
      <c r="AP40" s="49"/>
      <c r="AQ40" s="46"/>
    </row>
    <row r="41" spans="1:43" ht="15.75" customHeight="1">
      <c r="A41" s="50" t="s">
        <v>51</v>
      </c>
      <c r="B41" s="51" t="s">
        <v>299</v>
      </c>
      <c r="C41" s="25" t="s">
        <v>166</v>
      </c>
      <c r="D41" s="26"/>
      <c r="E41" s="26" t="s">
        <v>54</v>
      </c>
      <c r="F41" s="24" t="s">
        <v>126</v>
      </c>
      <c r="G41" s="36" t="s">
        <v>70</v>
      </c>
      <c r="H41" s="51" t="s">
        <v>291</v>
      </c>
      <c r="I41" s="26" t="s">
        <v>300</v>
      </c>
      <c r="J41" s="26">
        <v>33.211508700000003</v>
      </c>
      <c r="K41" s="26">
        <v>-92.665014400000004</v>
      </c>
      <c r="L41" s="51" t="s">
        <v>293</v>
      </c>
      <c r="M41" s="28">
        <v>17755</v>
      </c>
      <c r="N41" s="144" t="b">
        <v>1</v>
      </c>
      <c r="O41" s="51" t="s">
        <v>65</v>
      </c>
      <c r="P41" s="36" t="s">
        <v>294</v>
      </c>
      <c r="Q41" s="51" t="s">
        <v>301</v>
      </c>
      <c r="R41" s="26" t="s">
        <v>88</v>
      </c>
      <c r="S41" s="31" t="s">
        <v>302</v>
      </c>
      <c r="T41" s="51" t="s">
        <v>303</v>
      </c>
      <c r="U41" s="26" t="s">
        <v>88</v>
      </c>
      <c r="V41" s="147" t="b">
        <v>1</v>
      </c>
      <c r="W41" s="33"/>
      <c r="X41" s="34" t="s">
        <v>65</v>
      </c>
      <c r="Y41" s="148" t="b">
        <v>1</v>
      </c>
      <c r="Z41" s="144" t="b">
        <v>1</v>
      </c>
      <c r="AA41" s="32">
        <v>2000</v>
      </c>
      <c r="AB41" s="26"/>
      <c r="AC41" s="26"/>
      <c r="AD41" s="35"/>
      <c r="AE41" s="35"/>
      <c r="AF41" s="35"/>
      <c r="AG41" s="35"/>
      <c r="AH41" s="146" t="b">
        <v>0</v>
      </c>
      <c r="AI41" s="29" t="s">
        <v>160</v>
      </c>
      <c r="AJ41" s="35" t="s">
        <v>65</v>
      </c>
      <c r="AK41" s="32"/>
      <c r="AL41" s="148" t="b">
        <v>0</v>
      </c>
      <c r="AM41" s="35"/>
      <c r="AN41" s="35"/>
      <c r="AO41" s="148" t="b">
        <v>0</v>
      </c>
      <c r="AP41" s="35"/>
      <c r="AQ41" s="32"/>
    </row>
    <row r="42" spans="1:43" ht="15.75" customHeight="1">
      <c r="A42" s="37" t="s">
        <v>51</v>
      </c>
      <c r="B42" s="38" t="s">
        <v>304</v>
      </c>
      <c r="C42" s="39" t="s">
        <v>170</v>
      </c>
      <c r="D42" s="38" t="s">
        <v>125</v>
      </c>
      <c r="E42" s="38" t="s">
        <v>54</v>
      </c>
      <c r="F42" s="24" t="s">
        <v>126</v>
      </c>
      <c r="G42" s="27" t="s">
        <v>56</v>
      </c>
      <c r="H42" s="38" t="s">
        <v>57</v>
      </c>
      <c r="I42" s="38" t="s">
        <v>305</v>
      </c>
      <c r="J42" s="38">
        <v>41.569701999999999</v>
      </c>
      <c r="K42" s="38">
        <v>-117.7853458</v>
      </c>
      <c r="L42" s="38" t="s">
        <v>306</v>
      </c>
      <c r="M42" s="42">
        <v>117</v>
      </c>
      <c r="N42" s="144" t="b">
        <v>1</v>
      </c>
      <c r="O42" s="38" t="s">
        <v>307</v>
      </c>
      <c r="P42" s="40" t="s">
        <v>308</v>
      </c>
      <c r="Q42" s="38" t="s">
        <v>309</v>
      </c>
      <c r="R42" s="38" t="s">
        <v>63</v>
      </c>
      <c r="S42" s="64" t="s">
        <v>310</v>
      </c>
      <c r="T42" s="38" t="s">
        <v>311</v>
      </c>
      <c r="U42" s="38" t="s">
        <v>63</v>
      </c>
      <c r="V42" s="145" t="b">
        <v>0</v>
      </c>
      <c r="W42" s="47">
        <v>44.1</v>
      </c>
      <c r="X42" s="48">
        <v>40</v>
      </c>
      <c r="Y42" s="149" t="b">
        <v>1</v>
      </c>
      <c r="Z42" s="149" t="b">
        <v>1</v>
      </c>
      <c r="AA42" s="46">
        <v>2930</v>
      </c>
      <c r="AB42" s="38">
        <v>2</v>
      </c>
      <c r="AC42" s="24" t="s">
        <v>211</v>
      </c>
      <c r="AD42" s="49" t="s">
        <v>312</v>
      </c>
      <c r="AE42" s="49" t="s">
        <v>313</v>
      </c>
      <c r="AF42" s="49">
        <f>1600+11.8</f>
        <v>1611.8</v>
      </c>
      <c r="AG42" s="49" t="s">
        <v>193</v>
      </c>
      <c r="AH42" s="147" t="b">
        <v>1</v>
      </c>
      <c r="AI42" s="49" t="s">
        <v>66</v>
      </c>
      <c r="AJ42" s="49" t="s">
        <v>67</v>
      </c>
      <c r="AK42" s="46"/>
      <c r="AL42" s="144" t="b">
        <v>1</v>
      </c>
      <c r="AM42" s="49">
        <v>2</v>
      </c>
      <c r="AN42" s="49" t="s">
        <v>44</v>
      </c>
      <c r="AO42" s="149" t="b">
        <v>1</v>
      </c>
      <c r="AP42" s="49" t="s">
        <v>314</v>
      </c>
      <c r="AQ42" s="80" t="s">
        <v>315</v>
      </c>
    </row>
    <row r="43" spans="1:43" ht="15.75" customHeight="1">
      <c r="A43" s="23" t="s">
        <v>51</v>
      </c>
      <c r="B43" s="26" t="s">
        <v>316</v>
      </c>
      <c r="C43" s="52" t="s">
        <v>53</v>
      </c>
      <c r="D43" s="26"/>
      <c r="E43" s="26" t="s">
        <v>54</v>
      </c>
      <c r="F43" s="24" t="s">
        <v>55</v>
      </c>
      <c r="G43" s="36" t="s">
        <v>70</v>
      </c>
      <c r="H43" s="26" t="s">
        <v>57</v>
      </c>
      <c r="I43" s="26" t="s">
        <v>127</v>
      </c>
      <c r="J43" s="26">
        <v>38.100062999999999</v>
      </c>
      <c r="K43" s="26">
        <v>-117.2250609</v>
      </c>
      <c r="L43" s="26" t="s">
        <v>317</v>
      </c>
      <c r="M43" s="28">
        <v>2179</v>
      </c>
      <c r="N43" s="144" t="b">
        <v>1</v>
      </c>
      <c r="O43" s="51" t="s">
        <v>318</v>
      </c>
      <c r="P43" s="30" t="s">
        <v>61</v>
      </c>
      <c r="Q43" s="26" t="s">
        <v>319</v>
      </c>
      <c r="R43" s="26" t="s">
        <v>88</v>
      </c>
      <c r="S43" s="31" t="s">
        <v>320</v>
      </c>
      <c r="T43" s="26"/>
      <c r="U43" s="26"/>
      <c r="V43" s="146" t="b">
        <v>0</v>
      </c>
      <c r="W43" s="33">
        <v>38</v>
      </c>
      <c r="X43" s="34">
        <v>40</v>
      </c>
      <c r="Y43" s="148" t="b">
        <v>0</v>
      </c>
      <c r="Z43" s="148" t="b">
        <v>1</v>
      </c>
      <c r="AA43" s="32">
        <v>819</v>
      </c>
      <c r="AB43" s="26"/>
      <c r="AC43" s="26"/>
      <c r="AD43" s="35"/>
      <c r="AE43" s="35"/>
      <c r="AF43" s="35"/>
      <c r="AG43" s="35"/>
      <c r="AH43" s="146" t="b">
        <v>0</v>
      </c>
      <c r="AI43" s="35" t="s">
        <v>66</v>
      </c>
      <c r="AJ43" s="35" t="s">
        <v>67</v>
      </c>
      <c r="AK43" s="32"/>
      <c r="AL43" s="148" t="b">
        <v>0</v>
      </c>
      <c r="AM43" s="35"/>
      <c r="AN43" s="35"/>
      <c r="AO43" s="148" t="b">
        <v>0</v>
      </c>
      <c r="AP43" s="35"/>
      <c r="AQ43" s="32"/>
    </row>
    <row r="44" spans="1:43" ht="15.75" customHeight="1">
      <c r="A44" s="54" t="s">
        <v>51</v>
      </c>
      <c r="B44" s="41" t="s">
        <v>321</v>
      </c>
      <c r="C44" s="39" t="s">
        <v>53</v>
      </c>
      <c r="D44" s="38"/>
      <c r="E44" s="24" t="s">
        <v>93</v>
      </c>
      <c r="F44" s="24" t="s">
        <v>55</v>
      </c>
      <c r="G44" s="40" t="s">
        <v>70</v>
      </c>
      <c r="H44" s="41" t="s">
        <v>57</v>
      </c>
      <c r="I44" s="41" t="s">
        <v>58</v>
      </c>
      <c r="J44" s="38">
        <v>38.100062999999999</v>
      </c>
      <c r="K44" s="38">
        <v>-117.2250609</v>
      </c>
      <c r="L44" s="38" t="s">
        <v>317</v>
      </c>
      <c r="M44" s="42">
        <v>2179</v>
      </c>
      <c r="N44" s="144" t="b">
        <v>1</v>
      </c>
      <c r="O44" s="41" t="s">
        <v>318</v>
      </c>
      <c r="P44" s="43" t="s">
        <v>61</v>
      </c>
      <c r="Q44" s="38" t="s">
        <v>322</v>
      </c>
      <c r="R44" s="38" t="s">
        <v>88</v>
      </c>
      <c r="S44" s="64" t="s">
        <v>323</v>
      </c>
      <c r="T44" s="38"/>
      <c r="U44" s="38"/>
      <c r="V44" s="145" t="b">
        <v>0</v>
      </c>
      <c r="W44" s="56">
        <v>33.1</v>
      </c>
      <c r="X44" s="48">
        <v>50</v>
      </c>
      <c r="Y44" s="149" t="b">
        <v>1</v>
      </c>
      <c r="Z44" s="149" t="b">
        <v>1</v>
      </c>
      <c r="AA44" s="46">
        <v>782</v>
      </c>
      <c r="AB44" s="38">
        <v>3</v>
      </c>
      <c r="AC44" s="24" t="s">
        <v>148</v>
      </c>
      <c r="AD44" s="49" t="s">
        <v>324</v>
      </c>
      <c r="AE44" s="49" t="s">
        <v>158</v>
      </c>
      <c r="AF44" s="49">
        <f>4.5+115+20</f>
        <v>139.5</v>
      </c>
      <c r="AG44" s="49" t="s">
        <v>325</v>
      </c>
      <c r="AH44" s="145" t="b">
        <v>0</v>
      </c>
      <c r="AI44" s="49" t="s">
        <v>66</v>
      </c>
      <c r="AJ44" s="49" t="s">
        <v>67</v>
      </c>
      <c r="AK44" s="46"/>
      <c r="AL44" s="149" t="b">
        <v>0</v>
      </c>
      <c r="AM44" s="49"/>
      <c r="AN44" s="49"/>
      <c r="AO44" s="149" t="b">
        <v>0</v>
      </c>
      <c r="AP44" s="49"/>
      <c r="AQ44" s="46"/>
    </row>
    <row r="45" spans="1:43" ht="15.75" customHeight="1">
      <c r="A45" s="50" t="s">
        <v>51</v>
      </c>
      <c r="B45" s="51" t="s">
        <v>326</v>
      </c>
      <c r="C45" s="52" t="s">
        <v>166</v>
      </c>
      <c r="D45" s="26" t="s">
        <v>327</v>
      </c>
      <c r="E45" s="26" t="s">
        <v>54</v>
      </c>
      <c r="F45" s="24" t="s">
        <v>55</v>
      </c>
      <c r="G45" s="36" t="s">
        <v>70</v>
      </c>
      <c r="H45" s="51" t="s">
        <v>175</v>
      </c>
      <c r="I45" s="51" t="s">
        <v>328</v>
      </c>
      <c r="J45" s="26">
        <v>38.573809599999997</v>
      </c>
      <c r="K45" s="26">
        <v>-109.54621400000001</v>
      </c>
      <c r="L45" s="51" t="s">
        <v>197</v>
      </c>
      <c r="M45" s="28">
        <v>5366</v>
      </c>
      <c r="N45" s="144" t="b">
        <v>1</v>
      </c>
      <c r="O45" s="51" t="s">
        <v>65</v>
      </c>
      <c r="P45" s="30" t="s">
        <v>65</v>
      </c>
      <c r="Q45" s="51" t="s">
        <v>329</v>
      </c>
      <c r="R45" s="26" t="s">
        <v>86</v>
      </c>
      <c r="S45" s="73" t="s">
        <v>330</v>
      </c>
      <c r="T45" s="51"/>
      <c r="U45" s="26"/>
      <c r="V45" s="147" t="b">
        <v>1</v>
      </c>
      <c r="W45" s="33"/>
      <c r="X45" s="34"/>
      <c r="Y45" s="144" t="b">
        <v>1</v>
      </c>
      <c r="Z45" s="148" t="b">
        <v>0</v>
      </c>
      <c r="AA45" s="32"/>
      <c r="AB45" s="26">
        <v>1</v>
      </c>
      <c r="AC45" s="26" t="s">
        <v>148</v>
      </c>
      <c r="AD45" s="35">
        <v>2024</v>
      </c>
      <c r="AE45" s="35" t="s">
        <v>158</v>
      </c>
      <c r="AF45" s="35">
        <v>1</v>
      </c>
      <c r="AG45" s="35"/>
      <c r="AH45" s="146" t="b">
        <v>0</v>
      </c>
      <c r="AI45" s="35" t="s">
        <v>66</v>
      </c>
      <c r="AJ45" s="35" t="s">
        <v>67</v>
      </c>
      <c r="AK45" s="32"/>
      <c r="AL45" s="148" t="b">
        <v>0</v>
      </c>
      <c r="AM45" s="35"/>
      <c r="AN45" s="35"/>
      <c r="AO45" s="148" t="b">
        <v>0</v>
      </c>
      <c r="AP45" s="35"/>
      <c r="AQ45" s="32"/>
    </row>
    <row r="46" spans="1:43" ht="15.75" customHeight="1">
      <c r="A46" s="54" t="s">
        <v>51</v>
      </c>
      <c r="B46" s="41" t="s">
        <v>331</v>
      </c>
      <c r="C46" s="39" t="s">
        <v>170</v>
      </c>
      <c r="D46" s="38"/>
      <c r="E46" s="38" t="s">
        <v>54</v>
      </c>
      <c r="F46" s="24" t="s">
        <v>80</v>
      </c>
      <c r="G46" s="27" t="s">
        <v>56</v>
      </c>
      <c r="H46" s="41" t="s">
        <v>134</v>
      </c>
      <c r="I46" s="41" t="s">
        <v>135</v>
      </c>
      <c r="J46" s="38">
        <v>42.264609999999998</v>
      </c>
      <c r="K46" s="38">
        <v>-118.67538070000001</v>
      </c>
      <c r="L46" s="41" t="s">
        <v>136</v>
      </c>
      <c r="M46" s="42">
        <v>120</v>
      </c>
      <c r="N46" s="144" t="b">
        <v>1</v>
      </c>
      <c r="O46" s="41" t="s">
        <v>65</v>
      </c>
      <c r="P46" s="81" t="s">
        <v>137</v>
      </c>
      <c r="Q46" s="41" t="s">
        <v>332</v>
      </c>
      <c r="R46" s="38" t="s">
        <v>63</v>
      </c>
      <c r="S46" s="64" t="s">
        <v>333</v>
      </c>
      <c r="T46" s="58" t="s">
        <v>163</v>
      </c>
      <c r="U46" s="38" t="s">
        <v>63</v>
      </c>
      <c r="V46" s="145" t="b">
        <v>0</v>
      </c>
      <c r="W46" s="47"/>
      <c r="X46" s="48"/>
      <c r="Y46" s="149" t="b">
        <v>0</v>
      </c>
      <c r="Z46" s="149" t="b">
        <v>0</v>
      </c>
      <c r="AA46" s="46" t="s">
        <v>65</v>
      </c>
      <c r="AB46" s="38"/>
      <c r="AC46" s="38"/>
      <c r="AD46" s="49"/>
      <c r="AE46" s="49"/>
      <c r="AF46" s="49"/>
      <c r="AG46" s="49"/>
      <c r="AH46" s="145" t="b">
        <v>0</v>
      </c>
      <c r="AI46" s="49" t="s">
        <v>66</v>
      </c>
      <c r="AJ46" s="49" t="s">
        <v>67</v>
      </c>
      <c r="AK46" s="60">
        <v>2022</v>
      </c>
      <c r="AL46" s="149" t="b">
        <v>0</v>
      </c>
      <c r="AM46" s="49"/>
      <c r="AN46" s="49"/>
      <c r="AO46" s="149" t="b">
        <v>0</v>
      </c>
      <c r="AP46" s="49"/>
      <c r="AQ46" s="46"/>
    </row>
    <row r="47" spans="1:43" ht="15.75" customHeight="1">
      <c r="A47" s="50" t="s">
        <v>51</v>
      </c>
      <c r="B47" s="51" t="s">
        <v>334</v>
      </c>
      <c r="C47" s="25" t="s">
        <v>69</v>
      </c>
      <c r="D47" s="26"/>
      <c r="E47" s="26" t="s">
        <v>54</v>
      </c>
      <c r="F47" s="24" t="s">
        <v>55</v>
      </c>
      <c r="G47" s="36" t="s">
        <v>70</v>
      </c>
      <c r="H47" s="51" t="s">
        <v>71</v>
      </c>
      <c r="I47" s="82" t="s">
        <v>335</v>
      </c>
      <c r="J47" s="26">
        <v>32.740845299999997</v>
      </c>
      <c r="K47" s="26">
        <v>-114.480458</v>
      </c>
      <c r="L47" s="51" t="s">
        <v>336</v>
      </c>
      <c r="M47" s="28">
        <v>3213</v>
      </c>
      <c r="N47" s="144" t="b">
        <v>1</v>
      </c>
      <c r="O47" s="51" t="s">
        <v>65</v>
      </c>
      <c r="P47" s="30" t="s">
        <v>137</v>
      </c>
      <c r="Q47" s="51" t="s">
        <v>337</v>
      </c>
      <c r="R47" s="26" t="s">
        <v>63</v>
      </c>
      <c r="S47" s="31"/>
      <c r="T47" s="51"/>
      <c r="U47" s="26"/>
      <c r="V47" s="146" t="b">
        <v>0</v>
      </c>
      <c r="W47" s="33"/>
      <c r="X47" s="34"/>
      <c r="Y47" s="148" t="b">
        <v>0</v>
      </c>
      <c r="Z47" s="148" t="b">
        <v>0</v>
      </c>
      <c r="AA47" s="32" t="s">
        <v>65</v>
      </c>
      <c r="AB47" s="26"/>
      <c r="AC47" s="26"/>
      <c r="AD47" s="35"/>
      <c r="AE47" s="35"/>
      <c r="AF47" s="35"/>
      <c r="AG47" s="35"/>
      <c r="AH47" s="146" t="b">
        <v>0</v>
      </c>
      <c r="AI47" s="29" t="s">
        <v>66</v>
      </c>
      <c r="AJ47" s="35" t="s">
        <v>78</v>
      </c>
      <c r="AK47" s="32">
        <v>2018</v>
      </c>
      <c r="AL47" s="148" t="b">
        <v>0</v>
      </c>
      <c r="AM47" s="35"/>
      <c r="AN47" s="35"/>
      <c r="AO47" s="148" t="b">
        <v>0</v>
      </c>
      <c r="AP47" s="35"/>
      <c r="AQ47" s="32"/>
    </row>
    <row r="48" spans="1:43" ht="15.75" customHeight="1">
      <c r="A48" s="54" t="s">
        <v>51</v>
      </c>
      <c r="B48" s="41" t="s">
        <v>338</v>
      </c>
      <c r="C48" s="25" t="s">
        <v>53</v>
      </c>
      <c r="D48" s="38"/>
      <c r="E48" s="38" t="s">
        <v>54</v>
      </c>
      <c r="F48" s="38" t="s">
        <v>55</v>
      </c>
      <c r="G48" s="27" t="s">
        <v>56</v>
      </c>
      <c r="H48" s="41" t="s">
        <v>57</v>
      </c>
      <c r="I48" s="44" t="s">
        <v>58</v>
      </c>
      <c r="J48" s="38">
        <v>38.100062999999999</v>
      </c>
      <c r="K48" s="38">
        <v>-117.2250609</v>
      </c>
      <c r="L48" s="41" t="s">
        <v>317</v>
      </c>
      <c r="M48" s="42">
        <v>2179</v>
      </c>
      <c r="N48" s="144" t="b">
        <v>1</v>
      </c>
      <c r="O48" s="41" t="s">
        <v>65</v>
      </c>
      <c r="P48" s="43" t="s">
        <v>65</v>
      </c>
      <c r="Q48" s="83" t="s">
        <v>339</v>
      </c>
      <c r="R48" s="38" t="s">
        <v>63</v>
      </c>
      <c r="S48" s="84" t="s">
        <v>340</v>
      </c>
      <c r="T48" s="41"/>
      <c r="U48" s="38"/>
      <c r="V48" s="145" t="b">
        <v>0</v>
      </c>
      <c r="W48" s="47"/>
      <c r="X48" s="48"/>
      <c r="Y48" s="149" t="b">
        <v>1</v>
      </c>
      <c r="Z48" s="144" t="b">
        <v>1</v>
      </c>
      <c r="AA48" s="46" t="s">
        <v>65</v>
      </c>
      <c r="AB48" s="38"/>
      <c r="AC48" s="38"/>
      <c r="AD48" s="49"/>
      <c r="AE48" s="49"/>
      <c r="AF48" s="49"/>
      <c r="AG48" s="49"/>
      <c r="AH48" s="145" t="b">
        <v>0</v>
      </c>
      <c r="AI48" s="29" t="s">
        <v>66</v>
      </c>
      <c r="AJ48" s="49" t="s">
        <v>67</v>
      </c>
      <c r="AK48" s="46">
        <v>2016</v>
      </c>
      <c r="AL48" s="149" t="b">
        <v>0</v>
      </c>
      <c r="AM48" s="49"/>
      <c r="AN48" s="49"/>
      <c r="AO48" s="149" t="b">
        <v>0</v>
      </c>
      <c r="AP48" s="49"/>
      <c r="AQ48" s="46"/>
    </row>
    <row r="49" spans="1:43" ht="15.75" customHeight="1">
      <c r="A49" s="50" t="s">
        <v>341</v>
      </c>
      <c r="B49" s="51" t="s">
        <v>342</v>
      </c>
      <c r="C49" s="52" t="s">
        <v>343</v>
      </c>
      <c r="D49" s="26" t="s">
        <v>344</v>
      </c>
      <c r="E49" s="26" t="s">
        <v>54</v>
      </c>
      <c r="F49" s="24" t="s">
        <v>55</v>
      </c>
      <c r="G49" s="36" t="s">
        <v>56</v>
      </c>
      <c r="H49" s="51" t="s">
        <v>345</v>
      </c>
      <c r="I49" s="24" t="s">
        <v>65</v>
      </c>
      <c r="J49" s="26">
        <v>59.083123200000003</v>
      </c>
      <c r="K49" s="26">
        <v>-135.3430573</v>
      </c>
      <c r="L49" s="51" t="s">
        <v>346</v>
      </c>
      <c r="M49" s="28">
        <v>2104</v>
      </c>
      <c r="N49" s="144" t="b">
        <v>1</v>
      </c>
      <c r="O49" s="26" t="s">
        <v>65</v>
      </c>
      <c r="P49" s="30" t="s">
        <v>65</v>
      </c>
      <c r="Q49" s="24" t="s">
        <v>347</v>
      </c>
      <c r="R49" s="51" t="s">
        <v>88</v>
      </c>
      <c r="S49" s="59" t="s">
        <v>348</v>
      </c>
      <c r="T49" s="26" t="s">
        <v>349</v>
      </c>
      <c r="U49" s="51" t="s">
        <v>63</v>
      </c>
      <c r="V49" s="147" t="b">
        <v>1</v>
      </c>
      <c r="W49" s="33"/>
      <c r="X49" s="85"/>
      <c r="Y49" s="148" t="b">
        <v>0</v>
      </c>
      <c r="Z49" s="148" t="b">
        <v>0</v>
      </c>
      <c r="AA49" s="32"/>
      <c r="AB49" s="26"/>
      <c r="AC49" s="26"/>
      <c r="AD49" s="35"/>
      <c r="AE49" s="35"/>
      <c r="AF49" s="35"/>
      <c r="AG49" s="35"/>
      <c r="AH49" s="146" t="b">
        <v>0</v>
      </c>
      <c r="AI49" s="35" t="s">
        <v>66</v>
      </c>
      <c r="AJ49" s="35" t="s">
        <v>78</v>
      </c>
      <c r="AK49" s="32"/>
      <c r="AL49" s="144" t="b">
        <v>1</v>
      </c>
      <c r="AM49" s="35">
        <v>2</v>
      </c>
      <c r="AN49" s="35" t="s">
        <v>90</v>
      </c>
      <c r="AO49" s="148" t="b">
        <v>1</v>
      </c>
      <c r="AP49" s="35" t="s">
        <v>350</v>
      </c>
      <c r="AQ49" s="86" t="s">
        <v>351</v>
      </c>
    </row>
    <row r="50" spans="1:43" ht="15.75" customHeight="1">
      <c r="A50" s="54" t="s">
        <v>341</v>
      </c>
      <c r="B50" s="41" t="s">
        <v>352</v>
      </c>
      <c r="C50" s="25" t="s">
        <v>53</v>
      </c>
      <c r="D50" s="38" t="s">
        <v>353</v>
      </c>
      <c r="E50" s="24" t="s">
        <v>54</v>
      </c>
      <c r="F50" s="24" t="s">
        <v>80</v>
      </c>
      <c r="G50" s="40" t="s">
        <v>56</v>
      </c>
      <c r="H50" s="41" t="s">
        <v>345</v>
      </c>
      <c r="I50" s="24" t="s">
        <v>65</v>
      </c>
      <c r="J50" s="38">
        <v>66.907238000000007</v>
      </c>
      <c r="K50" s="38">
        <v>-156.88270589999999</v>
      </c>
      <c r="L50" s="41" t="s">
        <v>354</v>
      </c>
      <c r="M50" s="42">
        <v>191</v>
      </c>
      <c r="N50" s="144" t="b">
        <v>1</v>
      </c>
      <c r="O50" s="38" t="s">
        <v>355</v>
      </c>
      <c r="P50" s="43" t="s">
        <v>65</v>
      </c>
      <c r="Q50" s="38" t="s">
        <v>356</v>
      </c>
      <c r="R50" s="41" t="s">
        <v>88</v>
      </c>
      <c r="S50" s="84" t="s">
        <v>357</v>
      </c>
      <c r="T50" s="24" t="s">
        <v>358</v>
      </c>
      <c r="U50" s="41" t="s">
        <v>359</v>
      </c>
      <c r="V50" s="145" t="b">
        <v>0</v>
      </c>
      <c r="W50" s="68">
        <v>82</v>
      </c>
      <c r="X50" s="87">
        <v>12</v>
      </c>
      <c r="Y50" s="149" t="b">
        <v>1</v>
      </c>
      <c r="Z50" s="144" t="b">
        <v>1</v>
      </c>
      <c r="AA50" s="46">
        <v>1178</v>
      </c>
      <c r="AB50" s="38"/>
      <c r="AC50" s="38"/>
      <c r="AD50" s="49"/>
      <c r="AE50" s="49"/>
      <c r="AF50" s="49"/>
      <c r="AG50" s="49"/>
      <c r="AH50" s="145" t="b">
        <v>0</v>
      </c>
      <c r="AI50" s="29" t="s">
        <v>66</v>
      </c>
      <c r="AJ50" s="49" t="s">
        <v>78</v>
      </c>
      <c r="AK50" s="46"/>
      <c r="AL50" s="144" t="b">
        <v>1</v>
      </c>
      <c r="AM50" s="49"/>
      <c r="AN50" s="49"/>
      <c r="AO50" s="149" t="b">
        <v>0</v>
      </c>
      <c r="AP50" s="49"/>
      <c r="AQ50" s="46"/>
    </row>
    <row r="51" spans="1:43" ht="15.75" customHeight="1">
      <c r="A51" s="50" t="s">
        <v>341</v>
      </c>
      <c r="B51" s="51" t="s">
        <v>360</v>
      </c>
      <c r="C51" s="52" t="s">
        <v>53</v>
      </c>
      <c r="D51" s="26" t="s">
        <v>361</v>
      </c>
      <c r="E51" s="26" t="s">
        <v>287</v>
      </c>
      <c r="F51" s="24" t="s">
        <v>288</v>
      </c>
      <c r="G51" s="36" t="s">
        <v>70</v>
      </c>
      <c r="H51" s="51" t="s">
        <v>71</v>
      </c>
      <c r="I51" s="26" t="s">
        <v>72</v>
      </c>
      <c r="J51" s="26">
        <v>34.577739999999999</v>
      </c>
      <c r="K51" s="26">
        <v>-113.1742845</v>
      </c>
      <c r="L51" s="51" t="s">
        <v>73</v>
      </c>
      <c r="M51" s="28">
        <v>2661</v>
      </c>
      <c r="N51" s="144" t="b">
        <v>1</v>
      </c>
      <c r="O51" s="26" t="s">
        <v>74</v>
      </c>
      <c r="P51" s="30" t="s">
        <v>362</v>
      </c>
      <c r="Q51" s="26" t="s">
        <v>363</v>
      </c>
      <c r="R51" s="51" t="s">
        <v>88</v>
      </c>
      <c r="S51" s="79" t="s">
        <v>364</v>
      </c>
      <c r="T51" s="26"/>
      <c r="U51" s="51"/>
      <c r="V51" s="147" t="b">
        <v>1</v>
      </c>
      <c r="W51" s="68">
        <v>88</v>
      </c>
      <c r="X51" s="85">
        <v>85</v>
      </c>
      <c r="Y51" s="148" t="b">
        <v>1</v>
      </c>
      <c r="Z51" s="148" t="b">
        <v>1</v>
      </c>
      <c r="AA51" s="32" t="s">
        <v>65</v>
      </c>
      <c r="AB51" s="26"/>
      <c r="AC51" s="26"/>
      <c r="AD51" s="35"/>
      <c r="AE51" s="35"/>
      <c r="AF51" s="35"/>
      <c r="AG51" s="35"/>
      <c r="AH51" s="146" t="b">
        <v>0</v>
      </c>
      <c r="AI51" s="35" t="s">
        <v>160</v>
      </c>
      <c r="AJ51" s="35" t="s">
        <v>65</v>
      </c>
      <c r="AK51" s="32"/>
      <c r="AL51" s="148" t="b">
        <v>0</v>
      </c>
      <c r="AM51" s="35"/>
      <c r="AN51" s="35"/>
      <c r="AO51" s="148" t="b">
        <v>0</v>
      </c>
      <c r="AP51" s="35"/>
      <c r="AQ51" s="32"/>
    </row>
    <row r="52" spans="1:43" ht="15.75" customHeight="1">
      <c r="A52" s="54" t="s">
        <v>341</v>
      </c>
      <c r="B52" s="41" t="s">
        <v>365</v>
      </c>
      <c r="C52" s="39" t="s">
        <v>366</v>
      </c>
      <c r="D52" s="38" t="s">
        <v>367</v>
      </c>
      <c r="E52" s="24" t="s">
        <v>287</v>
      </c>
      <c r="F52" s="24" t="s">
        <v>288</v>
      </c>
      <c r="G52" s="40" t="s">
        <v>70</v>
      </c>
      <c r="H52" s="41" t="s">
        <v>175</v>
      </c>
      <c r="I52" s="38" t="s">
        <v>368</v>
      </c>
      <c r="J52" s="38">
        <v>40.513978399999999</v>
      </c>
      <c r="K52" s="38">
        <v>-112.0329086</v>
      </c>
      <c r="L52" s="38" t="s">
        <v>369</v>
      </c>
      <c r="M52" s="42">
        <v>55144</v>
      </c>
      <c r="N52" s="144" t="b">
        <v>1</v>
      </c>
      <c r="O52" s="38" t="s">
        <v>370</v>
      </c>
      <c r="P52" s="43" t="s">
        <v>232</v>
      </c>
      <c r="Q52" s="24" t="s">
        <v>145</v>
      </c>
      <c r="R52" s="41" t="s">
        <v>76</v>
      </c>
      <c r="S52" s="64" t="s">
        <v>371</v>
      </c>
      <c r="T52" s="38" t="s">
        <v>147</v>
      </c>
      <c r="U52" s="41" t="s">
        <v>76</v>
      </c>
      <c r="V52" s="147" t="b">
        <v>1</v>
      </c>
      <c r="W52" s="56">
        <v>250</v>
      </c>
      <c r="X52" s="87">
        <v>8</v>
      </c>
      <c r="Y52" s="149" t="b">
        <v>0</v>
      </c>
      <c r="Z52" s="144" t="b">
        <v>1</v>
      </c>
      <c r="AA52" s="46">
        <v>498</v>
      </c>
      <c r="AB52" s="38"/>
      <c r="AC52" s="38"/>
      <c r="AD52" s="49"/>
      <c r="AE52" s="49"/>
      <c r="AF52" s="49"/>
      <c r="AG52" s="49"/>
      <c r="AH52" s="145" t="b">
        <v>0</v>
      </c>
      <c r="AI52" s="49" t="s">
        <v>160</v>
      </c>
      <c r="AJ52" s="49" t="s">
        <v>65</v>
      </c>
      <c r="AK52" s="57">
        <v>1989</v>
      </c>
      <c r="AL52" s="149" t="b">
        <v>0</v>
      </c>
      <c r="AM52" s="49"/>
      <c r="AN52" s="49"/>
      <c r="AO52" s="149" t="b">
        <v>0</v>
      </c>
      <c r="AP52" s="49"/>
      <c r="AQ52" s="46"/>
    </row>
    <row r="53" spans="1:43" ht="15.75" customHeight="1">
      <c r="A53" s="50" t="s">
        <v>341</v>
      </c>
      <c r="B53" s="51" t="s">
        <v>372</v>
      </c>
      <c r="C53" s="52" t="s">
        <v>343</v>
      </c>
      <c r="D53" s="26"/>
      <c r="E53" s="26" t="s">
        <v>54</v>
      </c>
      <c r="F53" s="24" t="s">
        <v>55</v>
      </c>
      <c r="G53" s="27" t="s">
        <v>56</v>
      </c>
      <c r="H53" s="51" t="s">
        <v>373</v>
      </c>
      <c r="I53" s="26" t="s">
        <v>374</v>
      </c>
      <c r="J53" s="26">
        <v>46.548074900000003</v>
      </c>
      <c r="K53" s="26">
        <v>-110.90347180000001</v>
      </c>
      <c r="L53" s="26" t="s">
        <v>375</v>
      </c>
      <c r="M53" s="28">
        <v>955</v>
      </c>
      <c r="N53" s="144" t="b">
        <v>1</v>
      </c>
      <c r="O53" s="26" t="s">
        <v>65</v>
      </c>
      <c r="P53" s="30" t="s">
        <v>376</v>
      </c>
      <c r="Q53" s="26" t="s">
        <v>377</v>
      </c>
      <c r="R53" s="51" t="s">
        <v>63</v>
      </c>
      <c r="S53" s="88" t="s">
        <v>378</v>
      </c>
      <c r="T53" s="26" t="s">
        <v>379</v>
      </c>
      <c r="U53" s="51" t="s">
        <v>63</v>
      </c>
      <c r="V53" s="146" t="b">
        <v>0</v>
      </c>
      <c r="W53" s="61">
        <v>1102.3</v>
      </c>
      <c r="X53" s="85" t="s">
        <v>380</v>
      </c>
      <c r="Y53" s="148" t="b">
        <v>0</v>
      </c>
      <c r="Z53" s="148" t="b">
        <v>0</v>
      </c>
      <c r="AA53" s="32" t="s">
        <v>65</v>
      </c>
      <c r="AB53" s="26"/>
      <c r="AC53" s="26"/>
      <c r="AD53" s="35"/>
      <c r="AE53" s="35"/>
      <c r="AF53" s="35"/>
      <c r="AG53" s="35"/>
      <c r="AH53" s="146" t="b">
        <v>0</v>
      </c>
      <c r="AI53" s="35" t="s">
        <v>160</v>
      </c>
      <c r="AJ53" s="35" t="s">
        <v>65</v>
      </c>
      <c r="AK53" s="62">
        <v>2015</v>
      </c>
      <c r="AL53" s="144" t="b">
        <v>1</v>
      </c>
      <c r="AM53" s="35">
        <v>2</v>
      </c>
      <c r="AN53" s="35" t="s">
        <v>14</v>
      </c>
      <c r="AO53" s="148" t="b">
        <v>1</v>
      </c>
      <c r="AP53" s="35" t="s">
        <v>381</v>
      </c>
      <c r="AQ53" s="89" t="s">
        <v>382</v>
      </c>
    </row>
    <row r="54" spans="1:43" ht="15.75" customHeight="1">
      <c r="A54" s="54" t="s">
        <v>341</v>
      </c>
      <c r="B54" s="41" t="s">
        <v>383</v>
      </c>
      <c r="C54" s="25" t="s">
        <v>53</v>
      </c>
      <c r="D54" s="38" t="s">
        <v>384</v>
      </c>
      <c r="E54" s="24" t="s">
        <v>93</v>
      </c>
      <c r="F54" s="24" t="s">
        <v>55</v>
      </c>
      <c r="G54" s="40" t="s">
        <v>70</v>
      </c>
      <c r="H54" s="41" t="s">
        <v>71</v>
      </c>
      <c r="I54" s="38" t="s">
        <v>385</v>
      </c>
      <c r="J54" s="38">
        <v>32.877283400000003</v>
      </c>
      <c r="K54" s="38">
        <v>-111.7536818</v>
      </c>
      <c r="L54" s="38" t="s">
        <v>386</v>
      </c>
      <c r="M54" s="42">
        <v>55653</v>
      </c>
      <c r="N54" s="144" t="b">
        <v>1</v>
      </c>
      <c r="O54" s="38" t="s">
        <v>387</v>
      </c>
      <c r="P54" s="43" t="s">
        <v>65</v>
      </c>
      <c r="Q54" s="24" t="s">
        <v>388</v>
      </c>
      <c r="R54" s="41" t="s">
        <v>63</v>
      </c>
      <c r="S54" s="45" t="s">
        <v>389</v>
      </c>
      <c r="T54" s="38" t="s">
        <v>388</v>
      </c>
      <c r="U54" s="41" t="s">
        <v>63</v>
      </c>
      <c r="V54" s="147" t="b">
        <v>1</v>
      </c>
      <c r="W54" s="56">
        <v>116.9</v>
      </c>
      <c r="X54" s="87">
        <v>31</v>
      </c>
      <c r="Y54" s="149" t="b">
        <v>0</v>
      </c>
      <c r="Z54" s="144" t="b">
        <v>1</v>
      </c>
      <c r="AA54" s="90">
        <v>688</v>
      </c>
      <c r="AB54" s="38"/>
      <c r="AC54" s="38"/>
      <c r="AD54" s="49"/>
      <c r="AE54" s="49"/>
      <c r="AF54" s="49"/>
      <c r="AG54" s="49"/>
      <c r="AH54" s="145" t="b">
        <v>0</v>
      </c>
      <c r="AI54" s="49" t="s">
        <v>160</v>
      </c>
      <c r="AJ54" s="49" t="s">
        <v>65</v>
      </c>
      <c r="AK54" s="46">
        <v>2020</v>
      </c>
      <c r="AL54" s="149" t="b">
        <v>0</v>
      </c>
      <c r="AM54" s="49"/>
      <c r="AN54" s="49"/>
      <c r="AO54" s="149" t="b">
        <v>0</v>
      </c>
      <c r="AP54" s="49"/>
      <c r="AQ54" s="46"/>
    </row>
    <row r="55" spans="1:43" ht="15.75" customHeight="1">
      <c r="A55" s="50" t="s">
        <v>341</v>
      </c>
      <c r="B55" s="51" t="s">
        <v>390</v>
      </c>
      <c r="C55" s="25" t="s">
        <v>53</v>
      </c>
      <c r="D55" s="26" t="s">
        <v>391</v>
      </c>
      <c r="E55" s="24" t="s">
        <v>93</v>
      </c>
      <c r="F55" s="24" t="s">
        <v>55</v>
      </c>
      <c r="G55" s="36" t="s">
        <v>70</v>
      </c>
      <c r="H55" s="51" t="s">
        <v>392</v>
      </c>
      <c r="I55" s="26" t="s">
        <v>393</v>
      </c>
      <c r="J55" s="26">
        <v>41.139980999999999</v>
      </c>
      <c r="K55" s="26">
        <v>-104.820246</v>
      </c>
      <c r="L55" s="26" t="s">
        <v>394</v>
      </c>
      <c r="M55" s="28">
        <v>65132</v>
      </c>
      <c r="N55" s="144" t="b">
        <v>1</v>
      </c>
      <c r="O55" s="26" t="s">
        <v>395</v>
      </c>
      <c r="P55" s="30" t="s">
        <v>65</v>
      </c>
      <c r="Q55" s="24" t="s">
        <v>396</v>
      </c>
      <c r="R55" s="51" t="s">
        <v>88</v>
      </c>
      <c r="S55" s="86" t="s">
        <v>397</v>
      </c>
      <c r="T55" s="26"/>
      <c r="U55" s="51"/>
      <c r="V55" s="146" t="b">
        <v>0</v>
      </c>
      <c r="W55" s="61"/>
      <c r="X55" s="85">
        <v>10</v>
      </c>
      <c r="Y55" s="148" t="b">
        <v>1</v>
      </c>
      <c r="Z55" s="148" t="b">
        <v>1</v>
      </c>
      <c r="AA55" s="32">
        <v>222</v>
      </c>
      <c r="AB55" s="26"/>
      <c r="AC55" s="26"/>
      <c r="AD55" s="35"/>
      <c r="AE55" s="35"/>
      <c r="AF55" s="35"/>
      <c r="AG55" s="35"/>
      <c r="AH55" s="146" t="b">
        <v>0</v>
      </c>
      <c r="AI55" s="35" t="s">
        <v>101</v>
      </c>
      <c r="AJ55" s="29" t="s">
        <v>14</v>
      </c>
      <c r="AK55" s="32"/>
      <c r="AL55" s="148" t="b">
        <v>0</v>
      </c>
      <c r="AM55" s="35"/>
      <c r="AN55" s="35"/>
      <c r="AO55" s="148" t="b">
        <v>0</v>
      </c>
      <c r="AP55" s="35"/>
      <c r="AQ55" s="32"/>
    </row>
    <row r="56" spans="1:43" ht="15.75" customHeight="1">
      <c r="A56" s="54" t="s">
        <v>341</v>
      </c>
      <c r="B56" s="41" t="s">
        <v>398</v>
      </c>
      <c r="C56" s="25" t="s">
        <v>366</v>
      </c>
      <c r="D56" s="38"/>
      <c r="E56" s="24" t="s">
        <v>93</v>
      </c>
      <c r="F56" s="24" t="s">
        <v>55</v>
      </c>
      <c r="G56" s="40" t="s">
        <v>70</v>
      </c>
      <c r="H56" s="41" t="s">
        <v>71</v>
      </c>
      <c r="I56" s="38" t="s">
        <v>385</v>
      </c>
      <c r="J56" s="38">
        <v>32.722568000000003</v>
      </c>
      <c r="K56" s="38">
        <v>-110.640654</v>
      </c>
      <c r="L56" s="38" t="s">
        <v>399</v>
      </c>
      <c r="M56" s="42">
        <v>1650</v>
      </c>
      <c r="N56" s="144" t="b">
        <v>1</v>
      </c>
      <c r="O56" s="38" t="s">
        <v>65</v>
      </c>
      <c r="P56" s="43" t="s">
        <v>362</v>
      </c>
      <c r="Q56" s="38" t="s">
        <v>400</v>
      </c>
      <c r="R56" s="41" t="s">
        <v>63</v>
      </c>
      <c r="S56" s="64" t="s">
        <v>401</v>
      </c>
      <c r="T56" s="38"/>
      <c r="U56" s="41"/>
      <c r="V56" s="147" t="b">
        <v>1</v>
      </c>
      <c r="W56" s="47"/>
      <c r="X56" s="87">
        <v>33</v>
      </c>
      <c r="Y56" s="149" t="b">
        <v>1</v>
      </c>
      <c r="Z56" s="144" t="b">
        <v>1</v>
      </c>
      <c r="AA56" s="46">
        <v>798</v>
      </c>
      <c r="AB56" s="38"/>
      <c r="AC56" s="38"/>
      <c r="AD56" s="49"/>
      <c r="AE56" s="49"/>
      <c r="AF56" s="49"/>
      <c r="AG56" s="49"/>
      <c r="AH56" s="145" t="b">
        <v>1</v>
      </c>
      <c r="AI56" s="29" t="s">
        <v>101</v>
      </c>
      <c r="AJ56" s="49" t="s">
        <v>78</v>
      </c>
      <c r="AK56" s="46"/>
      <c r="AL56" s="149" t="b">
        <v>0</v>
      </c>
      <c r="AM56" s="49"/>
      <c r="AN56" s="49"/>
      <c r="AO56" s="149" t="b">
        <v>0</v>
      </c>
      <c r="AP56" s="49"/>
      <c r="AQ56" s="46"/>
    </row>
    <row r="57" spans="1:43" ht="16.5" customHeight="1">
      <c r="A57" s="50" t="s">
        <v>341</v>
      </c>
      <c r="B57" s="58" t="s">
        <v>402</v>
      </c>
      <c r="C57" s="52" t="s">
        <v>343</v>
      </c>
      <c r="D57" s="26"/>
      <c r="E57" s="26" t="s">
        <v>54</v>
      </c>
      <c r="F57" s="24" t="s">
        <v>80</v>
      </c>
      <c r="G57" s="27" t="s">
        <v>56</v>
      </c>
      <c r="H57" s="51" t="s">
        <v>71</v>
      </c>
      <c r="I57" s="26" t="s">
        <v>403</v>
      </c>
      <c r="J57" s="26">
        <v>31.672345499999999</v>
      </c>
      <c r="K57" s="26">
        <v>-110.6619555</v>
      </c>
      <c r="L57" s="51" t="s">
        <v>404</v>
      </c>
      <c r="M57" s="28">
        <v>803</v>
      </c>
      <c r="N57" s="144" t="b">
        <v>1</v>
      </c>
      <c r="O57" s="26" t="s">
        <v>405</v>
      </c>
      <c r="P57" s="30" t="s">
        <v>406</v>
      </c>
      <c r="Q57" s="51" t="s">
        <v>407</v>
      </c>
      <c r="R57" s="51" t="s">
        <v>63</v>
      </c>
      <c r="S57" s="91" t="s">
        <v>408</v>
      </c>
      <c r="T57" s="26" t="s">
        <v>409</v>
      </c>
      <c r="U57" s="51" t="s">
        <v>63</v>
      </c>
      <c r="V57" s="147" t="b">
        <v>1</v>
      </c>
      <c r="W57" s="92">
        <v>100</v>
      </c>
      <c r="X57" s="85">
        <v>21</v>
      </c>
      <c r="Y57" s="148" t="b">
        <v>0</v>
      </c>
      <c r="Z57" s="148" t="b">
        <v>0</v>
      </c>
      <c r="AA57" s="32">
        <v>1300</v>
      </c>
      <c r="AB57" s="26"/>
      <c r="AC57" s="26"/>
      <c r="AD57" s="35"/>
      <c r="AE57" s="35"/>
      <c r="AF57" s="35"/>
      <c r="AG57" s="35"/>
      <c r="AH57" s="146" t="b">
        <v>0</v>
      </c>
      <c r="AI57" s="29" t="s">
        <v>101</v>
      </c>
      <c r="AJ57" s="35" t="s">
        <v>410</v>
      </c>
      <c r="AK57" s="32"/>
      <c r="AL57" s="144" t="b">
        <v>1</v>
      </c>
      <c r="AM57" s="35">
        <v>1</v>
      </c>
      <c r="AN57" s="35" t="s">
        <v>44</v>
      </c>
      <c r="AO57" s="148" t="b">
        <v>1</v>
      </c>
      <c r="AP57" s="35" t="s">
        <v>314</v>
      </c>
      <c r="AQ57" s="89" t="s">
        <v>411</v>
      </c>
    </row>
    <row r="58" spans="1:43" ht="15.75" customHeight="1">
      <c r="A58" s="54" t="s">
        <v>341</v>
      </c>
      <c r="B58" s="41" t="s">
        <v>412</v>
      </c>
      <c r="C58" s="39" t="s">
        <v>343</v>
      </c>
      <c r="D58" s="41" t="s">
        <v>413</v>
      </c>
      <c r="E58" s="38" t="s">
        <v>54</v>
      </c>
      <c r="F58" s="24" t="s">
        <v>126</v>
      </c>
      <c r="G58" s="27" t="s">
        <v>56</v>
      </c>
      <c r="H58" s="41" t="s">
        <v>414</v>
      </c>
      <c r="I58" s="24" t="s">
        <v>415</v>
      </c>
      <c r="J58" s="38">
        <v>46.476545000000002</v>
      </c>
      <c r="K58" s="38">
        <v>-89.941002999999995</v>
      </c>
      <c r="L58" s="38" t="s">
        <v>416</v>
      </c>
      <c r="M58" s="42">
        <v>1702</v>
      </c>
      <c r="N58" s="144" t="b">
        <v>1</v>
      </c>
      <c r="O58" s="38" t="s">
        <v>65</v>
      </c>
      <c r="P58" s="40" t="s">
        <v>417</v>
      </c>
      <c r="Q58" s="24" t="s">
        <v>418</v>
      </c>
      <c r="R58" s="41" t="s">
        <v>63</v>
      </c>
      <c r="S58" s="64" t="s">
        <v>419</v>
      </c>
      <c r="T58" s="38" t="s">
        <v>420</v>
      </c>
      <c r="U58" s="41" t="s">
        <v>63</v>
      </c>
      <c r="V58" s="145" t="b">
        <v>0</v>
      </c>
      <c r="W58" s="56">
        <v>30</v>
      </c>
      <c r="X58" s="87">
        <v>11</v>
      </c>
      <c r="Y58" s="149" t="b">
        <v>0</v>
      </c>
      <c r="Z58" s="149" t="b">
        <v>0</v>
      </c>
      <c r="AA58" s="46">
        <v>425</v>
      </c>
      <c r="AB58" s="38"/>
      <c r="AC58" s="38"/>
      <c r="AD58" s="49"/>
      <c r="AE58" s="49"/>
      <c r="AF58" s="29">
        <v>150</v>
      </c>
      <c r="AG58" s="49"/>
      <c r="AH58" s="145" t="b">
        <v>0</v>
      </c>
      <c r="AI58" s="49" t="s">
        <v>101</v>
      </c>
      <c r="AJ58" s="49" t="s">
        <v>14</v>
      </c>
      <c r="AK58" s="57">
        <v>2008</v>
      </c>
      <c r="AL58" s="149" t="b">
        <v>0</v>
      </c>
      <c r="AM58" s="49"/>
      <c r="AN58" s="49"/>
      <c r="AO58" s="149" t="b">
        <v>0</v>
      </c>
      <c r="AP58" s="49"/>
      <c r="AQ58" s="46"/>
    </row>
    <row r="59" spans="1:43" ht="15.75" customHeight="1">
      <c r="A59" s="50" t="s">
        <v>341</v>
      </c>
      <c r="B59" s="51" t="s">
        <v>421</v>
      </c>
      <c r="C59" s="52" t="s">
        <v>69</v>
      </c>
      <c r="D59" s="51" t="s">
        <v>422</v>
      </c>
      <c r="E59" s="26" t="s">
        <v>54</v>
      </c>
      <c r="F59" s="24" t="s">
        <v>55</v>
      </c>
      <c r="G59" s="36" t="s">
        <v>56</v>
      </c>
      <c r="H59" s="51" t="s">
        <v>71</v>
      </c>
      <c r="I59" s="51" t="s">
        <v>423</v>
      </c>
      <c r="J59" s="26">
        <v>31.5402016</v>
      </c>
      <c r="K59" s="26">
        <v>-110.753927</v>
      </c>
      <c r="L59" s="51" t="s">
        <v>424</v>
      </c>
      <c r="M59" s="28">
        <v>804</v>
      </c>
      <c r="N59" s="144" t="b">
        <v>1</v>
      </c>
      <c r="O59" s="51" t="s">
        <v>425</v>
      </c>
      <c r="P59" s="30" t="s">
        <v>65</v>
      </c>
      <c r="Q59" s="58" t="s">
        <v>426</v>
      </c>
      <c r="R59" s="51" t="s">
        <v>86</v>
      </c>
      <c r="S59" s="93" t="s">
        <v>427</v>
      </c>
      <c r="T59" s="26" t="s">
        <v>428</v>
      </c>
      <c r="U59" s="51"/>
      <c r="V59" s="146" t="b">
        <v>0</v>
      </c>
      <c r="W59" s="33"/>
      <c r="X59" s="34"/>
      <c r="Y59" s="148" t="b">
        <v>0</v>
      </c>
      <c r="Z59" s="148" t="b">
        <v>0</v>
      </c>
      <c r="AA59" s="32" t="s">
        <v>65</v>
      </c>
      <c r="AB59" s="26"/>
      <c r="AC59" s="26"/>
      <c r="AD59" s="35"/>
      <c r="AE59" s="35"/>
      <c r="AF59" s="35"/>
      <c r="AG59" s="35"/>
      <c r="AH59" s="146" t="b">
        <v>0</v>
      </c>
      <c r="AI59" s="29" t="s">
        <v>66</v>
      </c>
      <c r="AJ59" s="35" t="s">
        <v>115</v>
      </c>
      <c r="AK59" s="32"/>
      <c r="AL59" s="144" t="b">
        <v>1</v>
      </c>
      <c r="AM59" s="35"/>
      <c r="AN59" s="35" t="s">
        <v>44</v>
      </c>
      <c r="AO59" s="148" t="b">
        <v>1</v>
      </c>
      <c r="AP59" s="35" t="s">
        <v>314</v>
      </c>
      <c r="AQ59" s="94" t="s">
        <v>429</v>
      </c>
    </row>
    <row r="60" spans="1:43" ht="15.75" customHeight="1">
      <c r="A60" s="54" t="s">
        <v>341</v>
      </c>
      <c r="B60" s="41" t="s">
        <v>430</v>
      </c>
      <c r="C60" s="25" t="s">
        <v>53</v>
      </c>
      <c r="D60" s="58" t="s">
        <v>361</v>
      </c>
      <c r="E60" s="38" t="s">
        <v>54</v>
      </c>
      <c r="F60" s="24" t="s">
        <v>55</v>
      </c>
      <c r="G60" s="27" t="s">
        <v>56</v>
      </c>
      <c r="H60" s="41" t="s">
        <v>431</v>
      </c>
      <c r="I60" s="41" t="s">
        <v>432</v>
      </c>
      <c r="J60" s="38">
        <v>44.044617000000002</v>
      </c>
      <c r="K60" s="38">
        <v>-115.8573372</v>
      </c>
      <c r="L60" s="41" t="s">
        <v>433</v>
      </c>
      <c r="M60" s="42">
        <v>192</v>
      </c>
      <c r="N60" s="144" t="b">
        <v>1</v>
      </c>
      <c r="O60" s="41" t="s">
        <v>434</v>
      </c>
      <c r="P60" s="43" t="s">
        <v>65</v>
      </c>
      <c r="Q60" s="41" t="s">
        <v>435</v>
      </c>
      <c r="R60" s="41" t="s">
        <v>88</v>
      </c>
      <c r="S60" s="64" t="s">
        <v>436</v>
      </c>
      <c r="T60" s="38"/>
      <c r="U60" s="41"/>
      <c r="V60" s="147" t="b">
        <v>1</v>
      </c>
      <c r="W60" s="68"/>
      <c r="X60" s="48"/>
      <c r="Y60" s="149" t="b">
        <v>0</v>
      </c>
      <c r="Z60" s="149" t="b">
        <v>0</v>
      </c>
      <c r="AA60" s="46" t="s">
        <v>65</v>
      </c>
      <c r="AB60" s="38"/>
      <c r="AC60" s="38"/>
      <c r="AD60" s="49"/>
      <c r="AE60" s="49"/>
      <c r="AF60" s="49"/>
      <c r="AG60" s="49"/>
      <c r="AH60" s="145" t="b">
        <v>0</v>
      </c>
      <c r="AI60" s="29" t="s">
        <v>66</v>
      </c>
      <c r="AJ60" s="49"/>
      <c r="AK60" s="46"/>
      <c r="AL60" s="144" t="b">
        <v>1</v>
      </c>
      <c r="AM60" s="49"/>
      <c r="AN60" s="49" t="s">
        <v>44</v>
      </c>
      <c r="AO60" s="149" t="b">
        <v>1</v>
      </c>
      <c r="AP60" s="49" t="s">
        <v>161</v>
      </c>
      <c r="AQ60" s="95" t="s">
        <v>437</v>
      </c>
    </row>
    <row r="61" spans="1:43" ht="15.75" customHeight="1">
      <c r="A61" s="50" t="s">
        <v>341</v>
      </c>
      <c r="B61" s="58" t="s">
        <v>438</v>
      </c>
      <c r="C61" s="52" t="s">
        <v>343</v>
      </c>
      <c r="D61" s="26" t="s">
        <v>413</v>
      </c>
      <c r="E61" s="24" t="s">
        <v>93</v>
      </c>
      <c r="F61" s="24" t="s">
        <v>55</v>
      </c>
      <c r="G61" s="36" t="s">
        <v>56</v>
      </c>
      <c r="H61" s="51" t="s">
        <v>373</v>
      </c>
      <c r="I61" s="26" t="s">
        <v>439</v>
      </c>
      <c r="J61" s="26">
        <v>33.293945000000001</v>
      </c>
      <c r="K61" s="26">
        <v>-111.09623000000001</v>
      </c>
      <c r="L61" s="26" t="s">
        <v>440</v>
      </c>
      <c r="M61" s="28">
        <v>2775</v>
      </c>
      <c r="N61" s="144" t="b">
        <v>1</v>
      </c>
      <c r="O61" s="26" t="s">
        <v>438</v>
      </c>
      <c r="P61" s="30" t="s">
        <v>65</v>
      </c>
      <c r="Q61" s="26" t="s">
        <v>441</v>
      </c>
      <c r="R61" s="51" t="s">
        <v>88</v>
      </c>
      <c r="S61" s="88" t="s">
        <v>442</v>
      </c>
      <c r="T61" s="26" t="s">
        <v>443</v>
      </c>
      <c r="U61" s="51" t="s">
        <v>88</v>
      </c>
      <c r="V61" s="147" t="b">
        <v>1</v>
      </c>
      <c r="W61" s="92">
        <v>12.5</v>
      </c>
      <c r="X61" s="85"/>
      <c r="Y61" s="148" t="b">
        <v>0</v>
      </c>
      <c r="Z61" s="148" t="b">
        <v>0</v>
      </c>
      <c r="AA61" s="32" t="s">
        <v>65</v>
      </c>
      <c r="AB61" s="26"/>
      <c r="AC61" s="26"/>
      <c r="AD61" s="35"/>
      <c r="AE61" s="35"/>
      <c r="AF61" s="35"/>
      <c r="AG61" s="35"/>
      <c r="AH61" s="146" t="b">
        <v>0</v>
      </c>
      <c r="AI61" s="29" t="s">
        <v>66</v>
      </c>
      <c r="AJ61" s="35" t="s">
        <v>115</v>
      </c>
      <c r="AK61" s="32">
        <v>2016</v>
      </c>
      <c r="AL61" s="144" t="b">
        <v>1</v>
      </c>
      <c r="AM61" s="35">
        <v>2</v>
      </c>
      <c r="AN61" s="35" t="s">
        <v>14</v>
      </c>
      <c r="AO61" s="148" t="b">
        <v>1</v>
      </c>
      <c r="AP61" s="29" t="s">
        <v>444</v>
      </c>
      <c r="AQ61" s="89" t="s">
        <v>445</v>
      </c>
    </row>
    <row r="62" spans="1:43" ht="15.75" customHeight="1">
      <c r="A62" s="54" t="s">
        <v>341</v>
      </c>
      <c r="B62" s="41" t="s">
        <v>446</v>
      </c>
      <c r="C62" s="25" t="s">
        <v>53</v>
      </c>
      <c r="D62" s="38"/>
      <c r="E62" s="24" t="s">
        <v>93</v>
      </c>
      <c r="F62" s="24" t="s">
        <v>288</v>
      </c>
      <c r="G62" s="27" t="s">
        <v>56</v>
      </c>
      <c r="H62" s="41" t="s">
        <v>175</v>
      </c>
      <c r="I62" s="38" t="s">
        <v>447</v>
      </c>
      <c r="J62" s="38">
        <v>38.148211000000003</v>
      </c>
      <c r="K62" s="38">
        <v>-109.13828100000001</v>
      </c>
      <c r="L62" s="38" t="s">
        <v>448</v>
      </c>
      <c r="M62" s="42">
        <v>339</v>
      </c>
      <c r="N62" s="144" t="b">
        <v>1</v>
      </c>
      <c r="O62" s="38" t="s">
        <v>446</v>
      </c>
      <c r="P62" s="43" t="s">
        <v>65</v>
      </c>
      <c r="Q62" s="38" t="s">
        <v>449</v>
      </c>
      <c r="R62" s="41"/>
      <c r="S62" s="84" t="s">
        <v>450</v>
      </c>
      <c r="T62" s="38"/>
      <c r="U62" s="41"/>
      <c r="V62" s="147" t="b">
        <v>1</v>
      </c>
      <c r="W62" s="56">
        <v>54000</v>
      </c>
      <c r="X62" s="87" t="s">
        <v>451</v>
      </c>
      <c r="Y62" s="149" t="b">
        <v>0</v>
      </c>
      <c r="Z62" s="149" t="b">
        <v>0</v>
      </c>
      <c r="AA62" s="46"/>
      <c r="AB62" s="38">
        <v>1</v>
      </c>
      <c r="AC62" s="24" t="s">
        <v>452</v>
      </c>
      <c r="AD62" s="49">
        <v>2024</v>
      </c>
      <c r="AE62" s="49" t="s">
        <v>192</v>
      </c>
      <c r="AF62" s="49">
        <v>25</v>
      </c>
      <c r="AG62" s="49" t="s">
        <v>453</v>
      </c>
      <c r="AH62" s="145" t="b">
        <v>0</v>
      </c>
      <c r="AI62" s="29" t="s">
        <v>101</v>
      </c>
      <c r="AJ62" s="49" t="s">
        <v>78</v>
      </c>
      <c r="AK62" s="46">
        <v>2009</v>
      </c>
      <c r="AL62" s="149" t="b">
        <v>0</v>
      </c>
      <c r="AM62" s="49"/>
      <c r="AN62" s="49"/>
      <c r="AO62" s="149" t="b">
        <v>0</v>
      </c>
      <c r="AP62" s="49"/>
      <c r="AQ62" s="96"/>
    </row>
    <row r="63" spans="1:43" ht="15.75" customHeight="1">
      <c r="A63" s="50" t="s">
        <v>341</v>
      </c>
      <c r="B63" s="51" t="s">
        <v>454</v>
      </c>
      <c r="C63" s="52" t="s">
        <v>69</v>
      </c>
      <c r="D63" s="97" t="s">
        <v>391</v>
      </c>
      <c r="E63" s="26" t="s">
        <v>93</v>
      </c>
      <c r="F63" s="24" t="s">
        <v>55</v>
      </c>
      <c r="G63" s="36" t="s">
        <v>70</v>
      </c>
      <c r="H63" s="51" t="s">
        <v>373</v>
      </c>
      <c r="I63" s="26" t="s">
        <v>455</v>
      </c>
      <c r="J63" s="26">
        <v>47.983451000000002</v>
      </c>
      <c r="K63" s="26">
        <v>-115.7693553</v>
      </c>
      <c r="L63" s="26" t="s">
        <v>456</v>
      </c>
      <c r="M63" s="28">
        <v>46</v>
      </c>
      <c r="N63" s="144" t="b">
        <v>1</v>
      </c>
      <c r="O63" s="26" t="s">
        <v>457</v>
      </c>
      <c r="P63" s="30" t="s">
        <v>65</v>
      </c>
      <c r="Q63" s="26" t="s">
        <v>349</v>
      </c>
      <c r="R63" s="51" t="s">
        <v>63</v>
      </c>
      <c r="S63" s="98" t="s">
        <v>458</v>
      </c>
      <c r="T63" s="26"/>
      <c r="U63" s="51"/>
      <c r="V63" s="147" t="b">
        <v>1</v>
      </c>
      <c r="W63" s="33"/>
      <c r="X63" s="85"/>
      <c r="Y63" s="148" t="b">
        <v>0</v>
      </c>
      <c r="Z63" s="148" t="b">
        <v>0</v>
      </c>
      <c r="AA63" s="32"/>
      <c r="AB63" s="26"/>
      <c r="AC63" s="26"/>
      <c r="AD63" s="35"/>
      <c r="AE63" s="35"/>
      <c r="AF63" s="35"/>
      <c r="AG63" s="35"/>
      <c r="AH63" s="146" t="b">
        <v>0</v>
      </c>
      <c r="AI63" s="35" t="s">
        <v>66</v>
      </c>
      <c r="AJ63" s="35" t="s">
        <v>67</v>
      </c>
      <c r="AK63" s="62"/>
      <c r="AL63" s="148" t="b">
        <v>0</v>
      </c>
      <c r="AM63" s="35"/>
      <c r="AN63" s="35"/>
      <c r="AO63" s="148" t="b">
        <v>0</v>
      </c>
      <c r="AP63" s="35"/>
      <c r="AQ63" s="32"/>
    </row>
    <row r="64" spans="1:43" ht="15.75" customHeight="1">
      <c r="A64" s="54" t="s">
        <v>341</v>
      </c>
      <c r="B64" s="41" t="s">
        <v>459</v>
      </c>
      <c r="C64" s="25" t="s">
        <v>53</v>
      </c>
      <c r="D64" s="99" t="s">
        <v>361</v>
      </c>
      <c r="E64" s="24" t="s">
        <v>93</v>
      </c>
      <c r="F64" s="24" t="s">
        <v>55</v>
      </c>
      <c r="G64" s="40" t="s">
        <v>70</v>
      </c>
      <c r="H64" s="41" t="s">
        <v>57</v>
      </c>
      <c r="I64" s="38" t="s">
        <v>460</v>
      </c>
      <c r="J64" s="38">
        <v>32.833244200000003</v>
      </c>
      <c r="K64" s="38">
        <v>-109.7131838</v>
      </c>
      <c r="L64" s="38" t="s">
        <v>461</v>
      </c>
      <c r="M64" s="42">
        <v>3194</v>
      </c>
      <c r="N64" s="144" t="b">
        <v>1</v>
      </c>
      <c r="O64" s="38" t="s">
        <v>462</v>
      </c>
      <c r="P64" s="43" t="s">
        <v>61</v>
      </c>
      <c r="Q64" s="38" t="s">
        <v>407</v>
      </c>
      <c r="R64" s="41" t="s">
        <v>63</v>
      </c>
      <c r="S64" s="64" t="s">
        <v>408</v>
      </c>
      <c r="T64" s="38"/>
      <c r="U64" s="41"/>
      <c r="V64" s="147" t="b">
        <v>1</v>
      </c>
      <c r="W64" s="68">
        <v>140</v>
      </c>
      <c r="X64" s="87">
        <v>27</v>
      </c>
      <c r="Y64" s="144" t="b">
        <v>1</v>
      </c>
      <c r="Z64" s="149" t="b">
        <v>0</v>
      </c>
      <c r="AA64" s="46">
        <v>2100</v>
      </c>
      <c r="AB64" s="38"/>
      <c r="AC64" s="38"/>
      <c r="AD64" s="49"/>
      <c r="AE64" s="49"/>
      <c r="AF64" s="49"/>
      <c r="AG64" s="49"/>
      <c r="AH64" s="145" t="b">
        <v>0</v>
      </c>
      <c r="AI64" s="29" t="s">
        <v>160</v>
      </c>
      <c r="AJ64" s="49"/>
      <c r="AK64" s="57">
        <v>2018</v>
      </c>
      <c r="AL64" s="149" t="b">
        <v>0</v>
      </c>
      <c r="AM64" s="49"/>
      <c r="AN64" s="49"/>
      <c r="AO64" s="149" t="b">
        <v>0</v>
      </c>
      <c r="AP64" s="49"/>
      <c r="AQ64" s="46"/>
    </row>
    <row r="65" spans="1:43" ht="15.75" customHeight="1">
      <c r="A65" s="50" t="s">
        <v>341</v>
      </c>
      <c r="B65" s="51" t="s">
        <v>463</v>
      </c>
      <c r="C65" s="25" t="s">
        <v>53</v>
      </c>
      <c r="D65" s="26"/>
      <c r="E65" s="26" t="s">
        <v>287</v>
      </c>
      <c r="F65" s="24" t="s">
        <v>464</v>
      </c>
      <c r="G65" s="36" t="s">
        <v>70</v>
      </c>
      <c r="H65" s="51" t="s">
        <v>71</v>
      </c>
      <c r="I65" s="26" t="s">
        <v>465</v>
      </c>
      <c r="J65" s="26">
        <v>31.848454799999999</v>
      </c>
      <c r="K65" s="26">
        <v>-111.0265945</v>
      </c>
      <c r="L65" s="26" t="s">
        <v>466</v>
      </c>
      <c r="M65" s="28">
        <v>1532</v>
      </c>
      <c r="N65" s="144" t="b">
        <v>1</v>
      </c>
      <c r="O65" s="26" t="s">
        <v>467</v>
      </c>
      <c r="P65" s="30" t="s">
        <v>65</v>
      </c>
      <c r="Q65" s="26" t="s">
        <v>468</v>
      </c>
      <c r="R65" s="51" t="s">
        <v>88</v>
      </c>
      <c r="S65" s="93" t="s">
        <v>469</v>
      </c>
      <c r="T65" s="26"/>
      <c r="U65" s="51"/>
      <c r="V65" s="146" t="b">
        <v>1</v>
      </c>
      <c r="W65" s="33"/>
      <c r="X65" s="85"/>
      <c r="Y65" s="148" t="b">
        <v>1</v>
      </c>
      <c r="Z65" s="144" t="b">
        <v>1</v>
      </c>
      <c r="AA65" s="32" t="s">
        <v>65</v>
      </c>
      <c r="AB65" s="26"/>
      <c r="AC65" s="38"/>
      <c r="AD65" s="35"/>
      <c r="AE65" s="35"/>
      <c r="AF65" s="35"/>
      <c r="AG65" s="35"/>
      <c r="AH65" s="146" t="b">
        <v>0</v>
      </c>
      <c r="AI65" s="35" t="s">
        <v>160</v>
      </c>
      <c r="AJ65" s="35" t="s">
        <v>65</v>
      </c>
      <c r="AK65" s="62"/>
      <c r="AL65" s="148" t="b">
        <v>0</v>
      </c>
      <c r="AM65" s="35"/>
      <c r="AN65" s="35"/>
      <c r="AO65" s="148" t="b">
        <v>0</v>
      </c>
      <c r="AP65" s="35"/>
      <c r="AQ65" s="32"/>
    </row>
    <row r="66" spans="1:43" ht="15.75" customHeight="1">
      <c r="A66" s="54" t="s">
        <v>341</v>
      </c>
      <c r="B66" s="41" t="s">
        <v>470</v>
      </c>
      <c r="C66" s="39" t="s">
        <v>53</v>
      </c>
      <c r="D66" s="38" t="s">
        <v>391</v>
      </c>
      <c r="E66" s="38" t="s">
        <v>287</v>
      </c>
      <c r="F66" s="24" t="s">
        <v>464</v>
      </c>
      <c r="G66" s="40" t="s">
        <v>70</v>
      </c>
      <c r="H66" s="41" t="s">
        <v>71</v>
      </c>
      <c r="I66" s="38" t="s">
        <v>403</v>
      </c>
      <c r="J66" s="38">
        <v>31.957530500000001</v>
      </c>
      <c r="K66" s="38">
        <v>-110.9556645</v>
      </c>
      <c r="L66" s="38" t="s">
        <v>471</v>
      </c>
      <c r="M66" s="42">
        <v>35638</v>
      </c>
      <c r="N66" s="144" t="b">
        <v>1</v>
      </c>
      <c r="O66" s="24" t="s">
        <v>403</v>
      </c>
      <c r="P66" s="43" t="s">
        <v>65</v>
      </c>
      <c r="Q66" s="38" t="s">
        <v>472</v>
      </c>
      <c r="R66" s="41" t="s">
        <v>88</v>
      </c>
      <c r="S66" s="100" t="s">
        <v>473</v>
      </c>
      <c r="T66" s="38" t="s">
        <v>474</v>
      </c>
      <c r="U66" s="41" t="s">
        <v>475</v>
      </c>
      <c r="V66" s="145" t="b">
        <v>0</v>
      </c>
      <c r="W66" s="47">
        <v>220</v>
      </c>
      <c r="X66" s="87">
        <v>72</v>
      </c>
      <c r="Y66" s="149" t="b">
        <v>1</v>
      </c>
      <c r="Z66" s="144" t="b">
        <v>1</v>
      </c>
      <c r="AA66" s="46" t="s">
        <v>65</v>
      </c>
      <c r="AB66" s="38"/>
      <c r="AC66" s="38"/>
      <c r="AD66" s="49"/>
      <c r="AE66" s="49"/>
      <c r="AF66" s="49"/>
      <c r="AG66" s="49"/>
      <c r="AH66" s="145" t="b">
        <v>0</v>
      </c>
      <c r="AI66" s="49" t="s">
        <v>101</v>
      </c>
      <c r="AJ66" s="49" t="s">
        <v>67</v>
      </c>
      <c r="AK66" s="57"/>
      <c r="AL66" s="144" t="b">
        <v>1</v>
      </c>
      <c r="AM66" s="49"/>
      <c r="AN66" s="49" t="s">
        <v>90</v>
      </c>
      <c r="AO66" s="149" t="b">
        <v>1</v>
      </c>
      <c r="AP66" s="49"/>
      <c r="AQ66" s="46"/>
    </row>
    <row r="67" spans="1:43" ht="15.75" customHeight="1">
      <c r="A67" s="50" t="s">
        <v>341</v>
      </c>
      <c r="B67" s="51" t="s">
        <v>476</v>
      </c>
      <c r="C67" s="25" t="s">
        <v>53</v>
      </c>
      <c r="D67" s="51" t="s">
        <v>477</v>
      </c>
      <c r="E67" s="24" t="s">
        <v>93</v>
      </c>
      <c r="F67" s="24" t="s">
        <v>55</v>
      </c>
      <c r="G67" s="27" t="s">
        <v>56</v>
      </c>
      <c r="H67" s="51" t="s">
        <v>141</v>
      </c>
      <c r="I67" s="51" t="s">
        <v>478</v>
      </c>
      <c r="J67" s="26">
        <v>40.136846499999997</v>
      </c>
      <c r="K67" s="26">
        <v>-120.95057799999999</v>
      </c>
      <c r="L67" s="51" t="s">
        <v>479</v>
      </c>
      <c r="M67" s="28">
        <v>1026</v>
      </c>
      <c r="N67" s="144" t="b">
        <v>1</v>
      </c>
      <c r="O67" s="51" t="s">
        <v>480</v>
      </c>
      <c r="P67" s="30" t="s">
        <v>362</v>
      </c>
      <c r="Q67" s="58" t="s">
        <v>481</v>
      </c>
      <c r="R67" s="51" t="s">
        <v>63</v>
      </c>
      <c r="S67" s="31" t="s">
        <v>482</v>
      </c>
      <c r="T67" s="26"/>
      <c r="U67" s="51"/>
      <c r="V67" s="146" t="b">
        <v>1</v>
      </c>
      <c r="W67" s="92">
        <v>150</v>
      </c>
      <c r="X67" s="101">
        <v>17</v>
      </c>
      <c r="Y67" s="148" t="b">
        <v>1</v>
      </c>
      <c r="Z67" s="144" t="b">
        <v>1</v>
      </c>
      <c r="AA67" s="32">
        <v>513</v>
      </c>
      <c r="AB67" s="26"/>
      <c r="AC67" s="26"/>
      <c r="AD67" s="35"/>
      <c r="AE67" s="35"/>
      <c r="AF67" s="35"/>
      <c r="AG67" s="35"/>
      <c r="AH67" s="146" t="b">
        <v>0</v>
      </c>
      <c r="AI67" s="29" t="s">
        <v>160</v>
      </c>
      <c r="AJ67" s="35" t="s">
        <v>65</v>
      </c>
      <c r="AK67" s="32"/>
      <c r="AL67" s="148" t="b">
        <v>0</v>
      </c>
      <c r="AM67" s="35"/>
      <c r="AN67" s="35"/>
      <c r="AO67" s="148" t="b">
        <v>1</v>
      </c>
      <c r="AP67" s="35"/>
      <c r="AQ67" s="32"/>
    </row>
    <row r="68" spans="1:43" ht="15.75" customHeight="1">
      <c r="A68" s="54" t="s">
        <v>341</v>
      </c>
      <c r="B68" s="41" t="s">
        <v>483</v>
      </c>
      <c r="C68" s="39" t="s">
        <v>53</v>
      </c>
      <c r="D68" s="99"/>
      <c r="E68" s="24" t="s">
        <v>287</v>
      </c>
      <c r="F68" s="24" t="s">
        <v>464</v>
      </c>
      <c r="G68" s="40" t="s">
        <v>70</v>
      </c>
      <c r="H68" s="41" t="s">
        <v>71</v>
      </c>
      <c r="I68" s="38" t="s">
        <v>484</v>
      </c>
      <c r="J68" s="38">
        <v>32.833244200000003</v>
      </c>
      <c r="K68" s="38">
        <v>-109.7131838</v>
      </c>
      <c r="L68" s="38" t="s">
        <v>485</v>
      </c>
      <c r="M68" s="42">
        <v>10271</v>
      </c>
      <c r="N68" s="144" t="b">
        <v>1</v>
      </c>
      <c r="O68" s="38" t="s">
        <v>486</v>
      </c>
      <c r="P68" s="43" t="s">
        <v>362</v>
      </c>
      <c r="Q68" s="24" t="s">
        <v>363</v>
      </c>
      <c r="R68" s="41" t="s">
        <v>88</v>
      </c>
      <c r="S68" s="64" t="s">
        <v>487</v>
      </c>
      <c r="T68" s="38"/>
      <c r="U68" s="41"/>
      <c r="V68" s="145" t="b">
        <v>0</v>
      </c>
      <c r="W68" s="56">
        <v>368.2</v>
      </c>
      <c r="X68" s="87">
        <v>17</v>
      </c>
      <c r="Y68" s="149" t="b">
        <v>1</v>
      </c>
      <c r="Z68" s="144" t="b">
        <v>1</v>
      </c>
      <c r="AA68" s="46" t="s">
        <v>65</v>
      </c>
      <c r="AB68" s="38">
        <v>1</v>
      </c>
      <c r="AC68" s="24" t="s">
        <v>148</v>
      </c>
      <c r="AD68" s="49">
        <v>2024</v>
      </c>
      <c r="AE68" s="49" t="s">
        <v>158</v>
      </c>
      <c r="AF68" s="49">
        <v>80</v>
      </c>
      <c r="AG68" s="49" t="s">
        <v>488</v>
      </c>
      <c r="AH68" s="145" t="b">
        <v>0</v>
      </c>
      <c r="AI68" s="49"/>
      <c r="AJ68" s="49" t="s">
        <v>65</v>
      </c>
      <c r="AK68" s="46"/>
      <c r="AL68" s="149" t="b">
        <v>0</v>
      </c>
      <c r="AM68" s="49"/>
      <c r="AN68" s="49"/>
      <c r="AO68" s="149" t="b">
        <v>0</v>
      </c>
      <c r="AP68" s="49"/>
      <c r="AQ68" s="46"/>
    </row>
    <row r="69" spans="1:43" ht="15.75" customHeight="1">
      <c r="A69" s="50" t="s">
        <v>341</v>
      </c>
      <c r="B69" s="51" t="s">
        <v>489</v>
      </c>
      <c r="C69" s="52" t="s">
        <v>69</v>
      </c>
      <c r="D69" s="97" t="s">
        <v>490</v>
      </c>
      <c r="E69" s="26" t="s">
        <v>54</v>
      </c>
      <c r="F69" s="24" t="s">
        <v>55</v>
      </c>
      <c r="G69" s="36" t="s">
        <v>70</v>
      </c>
      <c r="H69" s="51" t="s">
        <v>491</v>
      </c>
      <c r="I69" s="24" t="s">
        <v>65</v>
      </c>
      <c r="J69" s="26">
        <v>59.083123200000003</v>
      </c>
      <c r="K69" s="26">
        <v>-135.3430573</v>
      </c>
      <c r="L69" s="26" t="s">
        <v>346</v>
      </c>
      <c r="M69" s="28">
        <v>1657</v>
      </c>
      <c r="N69" s="144" t="b">
        <v>1</v>
      </c>
      <c r="O69" s="26" t="s">
        <v>65</v>
      </c>
      <c r="P69" s="30" t="s">
        <v>65</v>
      </c>
      <c r="Q69" s="26" t="s">
        <v>349</v>
      </c>
      <c r="R69" s="51" t="s">
        <v>63</v>
      </c>
      <c r="S69" s="73" t="s">
        <v>492</v>
      </c>
      <c r="T69" s="26"/>
      <c r="U69" s="51"/>
      <c r="V69" s="147" t="b">
        <v>1</v>
      </c>
      <c r="W69" s="33"/>
      <c r="X69" s="85"/>
      <c r="Y69" s="148" t="b">
        <v>0</v>
      </c>
      <c r="Z69" s="148" t="b">
        <v>0</v>
      </c>
      <c r="AA69" s="32"/>
      <c r="AB69" s="26"/>
      <c r="AC69" s="26"/>
      <c r="AD69" s="35"/>
      <c r="AE69" s="35"/>
      <c r="AF69" s="35"/>
      <c r="AG69" s="35"/>
      <c r="AH69" s="146" t="b">
        <v>0</v>
      </c>
      <c r="AI69" s="35"/>
      <c r="AJ69" s="35"/>
      <c r="AK69" s="62"/>
      <c r="AL69" s="148" t="b">
        <v>0</v>
      </c>
      <c r="AM69" s="35"/>
      <c r="AN69" s="35"/>
      <c r="AO69" s="148" t="b">
        <v>0</v>
      </c>
      <c r="AP69" s="35"/>
      <c r="AQ69" s="32"/>
    </row>
    <row r="70" spans="1:43" ht="15.75" customHeight="1">
      <c r="A70" s="54" t="s">
        <v>341</v>
      </c>
      <c r="B70" s="41" t="s">
        <v>493</v>
      </c>
      <c r="C70" s="39" t="s">
        <v>53</v>
      </c>
      <c r="D70" s="38" t="s">
        <v>494</v>
      </c>
      <c r="E70" s="24" t="s">
        <v>54</v>
      </c>
      <c r="F70" s="24" t="s">
        <v>80</v>
      </c>
      <c r="G70" s="27" t="s">
        <v>56</v>
      </c>
      <c r="H70" s="41" t="s">
        <v>345</v>
      </c>
      <c r="I70" s="24" t="s">
        <v>65</v>
      </c>
      <c r="J70" s="38">
        <v>59.800471000000002</v>
      </c>
      <c r="K70" s="38">
        <v>-154.88152489999999</v>
      </c>
      <c r="L70" s="38" t="s">
        <v>495</v>
      </c>
      <c r="M70" s="42">
        <v>108</v>
      </c>
      <c r="N70" s="144" t="b">
        <v>1</v>
      </c>
      <c r="O70" s="38" t="s">
        <v>65</v>
      </c>
      <c r="P70" s="43" t="s">
        <v>65</v>
      </c>
      <c r="Q70" s="38" t="s">
        <v>496</v>
      </c>
      <c r="R70" s="41" t="s">
        <v>88</v>
      </c>
      <c r="S70" s="102" t="s">
        <v>497</v>
      </c>
      <c r="T70" s="38" t="s">
        <v>498</v>
      </c>
      <c r="U70" s="41" t="s">
        <v>63</v>
      </c>
      <c r="V70" s="145" t="b">
        <v>0</v>
      </c>
      <c r="W70" s="68">
        <v>160</v>
      </c>
      <c r="X70" s="101">
        <v>20</v>
      </c>
      <c r="Y70" s="149" t="b">
        <v>1</v>
      </c>
      <c r="Z70" s="144" t="b">
        <v>1</v>
      </c>
      <c r="AA70" s="46">
        <v>6700</v>
      </c>
      <c r="AB70" s="38"/>
      <c r="AC70" s="38"/>
      <c r="AD70" s="49"/>
      <c r="AE70" s="49"/>
      <c r="AF70" s="49"/>
      <c r="AG70" s="49"/>
      <c r="AH70" s="145" t="b">
        <v>0</v>
      </c>
      <c r="AI70" s="29" t="s">
        <v>66</v>
      </c>
      <c r="AJ70" s="49" t="s">
        <v>14</v>
      </c>
      <c r="AK70" s="57"/>
      <c r="AL70" s="144" t="b">
        <v>1</v>
      </c>
      <c r="AM70" s="49">
        <v>7</v>
      </c>
      <c r="AN70" s="49" t="s">
        <v>44</v>
      </c>
      <c r="AO70" s="149" t="b">
        <v>0</v>
      </c>
      <c r="AP70" s="49"/>
      <c r="AQ70" s="46"/>
    </row>
    <row r="71" spans="1:43" ht="15.75" customHeight="1">
      <c r="A71" s="50" t="s">
        <v>341</v>
      </c>
      <c r="B71" s="51" t="s">
        <v>499</v>
      </c>
      <c r="C71" s="52" t="s">
        <v>53</v>
      </c>
      <c r="D71" s="26" t="s">
        <v>500</v>
      </c>
      <c r="E71" s="26" t="s">
        <v>54</v>
      </c>
      <c r="F71" s="24" t="s">
        <v>80</v>
      </c>
      <c r="G71" s="27" t="s">
        <v>56</v>
      </c>
      <c r="H71" s="51" t="s">
        <v>501</v>
      </c>
      <c r="I71" s="26" t="s">
        <v>502</v>
      </c>
      <c r="J71" s="26">
        <v>45.996068299999997</v>
      </c>
      <c r="K71" s="26">
        <v>-68.447349799999998</v>
      </c>
      <c r="L71" s="26" t="s">
        <v>503</v>
      </c>
      <c r="M71" s="28">
        <v>771</v>
      </c>
      <c r="N71" s="144" t="b">
        <v>1</v>
      </c>
      <c r="O71" s="26" t="s">
        <v>504</v>
      </c>
      <c r="P71" s="30" t="s">
        <v>65</v>
      </c>
      <c r="Q71" s="26" t="s">
        <v>505</v>
      </c>
      <c r="R71" s="51" t="s">
        <v>88</v>
      </c>
      <c r="S71" s="31" t="s">
        <v>506</v>
      </c>
      <c r="T71" s="26"/>
      <c r="U71" s="51"/>
      <c r="V71" s="147" t="b">
        <v>1</v>
      </c>
      <c r="W71" s="33"/>
      <c r="X71" s="103">
        <v>45580</v>
      </c>
      <c r="Y71" s="148" t="b">
        <v>1</v>
      </c>
      <c r="Z71" s="148" t="b">
        <v>0</v>
      </c>
      <c r="AA71" s="32" t="s">
        <v>65</v>
      </c>
      <c r="AB71" s="26"/>
      <c r="AC71" s="26"/>
      <c r="AD71" s="35"/>
      <c r="AE71" s="35"/>
      <c r="AF71" s="35"/>
      <c r="AG71" s="35"/>
      <c r="AH71" s="146" t="b">
        <v>0</v>
      </c>
      <c r="AI71" s="29" t="s">
        <v>160</v>
      </c>
      <c r="AJ71" s="35" t="s">
        <v>65</v>
      </c>
      <c r="AK71" s="62">
        <v>2017</v>
      </c>
      <c r="AL71" s="148" t="b">
        <v>0</v>
      </c>
      <c r="AM71" s="35"/>
      <c r="AN71" s="35"/>
      <c r="AO71" s="148" t="b">
        <v>0</v>
      </c>
      <c r="AP71" s="35"/>
      <c r="AQ71" s="32"/>
    </row>
    <row r="72" spans="1:43" ht="15.75" customHeight="1">
      <c r="A72" s="54" t="s">
        <v>341</v>
      </c>
      <c r="B72" s="41" t="s">
        <v>507</v>
      </c>
      <c r="C72" s="39" t="s">
        <v>53</v>
      </c>
      <c r="D72" s="38" t="s">
        <v>361</v>
      </c>
      <c r="E72" s="38" t="s">
        <v>287</v>
      </c>
      <c r="F72" s="24" t="s">
        <v>464</v>
      </c>
      <c r="G72" s="27" t="s">
        <v>56</v>
      </c>
      <c r="H72" s="41" t="s">
        <v>71</v>
      </c>
      <c r="I72" s="38" t="s">
        <v>465</v>
      </c>
      <c r="J72" s="38">
        <v>33.3995392</v>
      </c>
      <c r="K72" s="38">
        <v>-110.8709218</v>
      </c>
      <c r="L72" s="38" t="s">
        <v>466</v>
      </c>
      <c r="M72" s="42">
        <v>1532</v>
      </c>
      <c r="N72" s="144" t="b">
        <v>1</v>
      </c>
      <c r="O72" s="38" t="s">
        <v>467</v>
      </c>
      <c r="P72" s="43" t="s">
        <v>65</v>
      </c>
      <c r="Q72" s="38" t="s">
        <v>508</v>
      </c>
      <c r="R72" s="41" t="s">
        <v>88</v>
      </c>
      <c r="S72" s="104" t="s">
        <v>509</v>
      </c>
      <c r="T72" s="38"/>
      <c r="U72" s="41"/>
      <c r="V72" s="147" t="b">
        <v>1</v>
      </c>
      <c r="W72" s="47">
        <v>52.6</v>
      </c>
      <c r="X72" s="105"/>
      <c r="Y72" s="149" t="b">
        <v>1</v>
      </c>
      <c r="Z72" s="149" t="b">
        <v>1</v>
      </c>
      <c r="AA72" s="46" t="s">
        <v>65</v>
      </c>
      <c r="AB72" s="38"/>
      <c r="AC72" s="38"/>
      <c r="AD72" s="49"/>
      <c r="AE72" s="49"/>
      <c r="AF72" s="49"/>
      <c r="AG72" s="49"/>
      <c r="AH72" s="145" t="b">
        <v>0</v>
      </c>
      <c r="AI72" s="49" t="s">
        <v>66</v>
      </c>
      <c r="AJ72" s="49" t="s">
        <v>115</v>
      </c>
      <c r="AK72" s="57">
        <v>2021</v>
      </c>
      <c r="AL72" s="144" t="b">
        <v>1</v>
      </c>
      <c r="AM72" s="49">
        <v>1</v>
      </c>
      <c r="AN72" s="49" t="s">
        <v>44</v>
      </c>
      <c r="AO72" s="149" t="b">
        <v>0</v>
      </c>
      <c r="AP72" s="49" t="s">
        <v>161</v>
      </c>
      <c r="AQ72" s="46"/>
    </row>
    <row r="73" spans="1:43" ht="16.5" customHeight="1">
      <c r="A73" s="50" t="s">
        <v>341</v>
      </c>
      <c r="B73" s="51" t="s">
        <v>510</v>
      </c>
      <c r="C73" s="52" t="s">
        <v>343</v>
      </c>
      <c r="D73" s="26"/>
      <c r="E73" s="24" t="s">
        <v>93</v>
      </c>
      <c r="F73" s="24" t="s">
        <v>80</v>
      </c>
      <c r="G73" s="36" t="s">
        <v>70</v>
      </c>
      <c r="H73" s="51" t="s">
        <v>431</v>
      </c>
      <c r="I73" s="26" t="s">
        <v>511</v>
      </c>
      <c r="J73" s="26">
        <v>45.175921299999999</v>
      </c>
      <c r="K73" s="26">
        <v>-113.89577300000001</v>
      </c>
      <c r="L73" s="26" t="s">
        <v>512</v>
      </c>
      <c r="M73" s="28">
        <v>3295</v>
      </c>
      <c r="N73" s="144" t="b">
        <v>1</v>
      </c>
      <c r="O73" s="26" t="s">
        <v>513</v>
      </c>
      <c r="P73" s="30" t="s">
        <v>65</v>
      </c>
      <c r="Q73" s="26" t="s">
        <v>514</v>
      </c>
      <c r="R73" s="51" t="s">
        <v>88</v>
      </c>
      <c r="S73" s="26" t="s">
        <v>515</v>
      </c>
      <c r="T73" s="26"/>
      <c r="U73" s="51"/>
      <c r="V73" s="146" t="b">
        <v>0</v>
      </c>
      <c r="W73" s="33"/>
      <c r="X73" s="34"/>
      <c r="Y73" s="148" t="b">
        <v>0</v>
      </c>
      <c r="Z73" s="148" t="b">
        <v>0</v>
      </c>
      <c r="AA73" s="32" t="s">
        <v>65</v>
      </c>
      <c r="AB73" s="26"/>
      <c r="AC73" s="26"/>
      <c r="AD73" s="35"/>
      <c r="AE73" s="35"/>
      <c r="AF73" s="35"/>
      <c r="AG73" s="35"/>
      <c r="AH73" s="146" t="b">
        <v>0</v>
      </c>
      <c r="AI73" s="29" t="s">
        <v>66</v>
      </c>
      <c r="AJ73" s="35" t="s">
        <v>115</v>
      </c>
      <c r="AK73" s="32"/>
      <c r="AL73" s="148" t="b">
        <v>0</v>
      </c>
      <c r="AM73" s="35"/>
      <c r="AN73" s="35"/>
      <c r="AO73" s="148" t="b">
        <v>0</v>
      </c>
      <c r="AP73" s="35"/>
      <c r="AQ73" s="32"/>
    </row>
    <row r="74" spans="1:43" ht="16.5" customHeight="1">
      <c r="A74" s="54" t="s">
        <v>341</v>
      </c>
      <c r="B74" s="41" t="s">
        <v>516</v>
      </c>
      <c r="C74" s="39" t="s">
        <v>53</v>
      </c>
      <c r="D74" s="38"/>
      <c r="E74" s="38" t="s">
        <v>287</v>
      </c>
      <c r="F74" s="24" t="s">
        <v>464</v>
      </c>
      <c r="G74" s="27" t="s">
        <v>56</v>
      </c>
      <c r="H74" s="41" t="s">
        <v>71</v>
      </c>
      <c r="I74" s="41" t="s">
        <v>385</v>
      </c>
      <c r="J74" s="38">
        <v>32.354198699999998</v>
      </c>
      <c r="K74" s="38">
        <v>-111.1039907</v>
      </c>
      <c r="L74" s="41" t="s">
        <v>517</v>
      </c>
      <c r="M74" s="42">
        <v>1741</v>
      </c>
      <c r="N74" s="144" t="b">
        <v>1</v>
      </c>
      <c r="O74" s="41" t="s">
        <v>518</v>
      </c>
      <c r="P74" s="40" t="s">
        <v>65</v>
      </c>
      <c r="Q74" s="38" t="s">
        <v>472</v>
      </c>
      <c r="R74" s="41" t="s">
        <v>88</v>
      </c>
      <c r="S74" s="106" t="s">
        <v>519</v>
      </c>
      <c r="T74" s="38" t="s">
        <v>474</v>
      </c>
      <c r="U74" s="41" t="s">
        <v>475</v>
      </c>
      <c r="V74" s="145" t="b">
        <v>1</v>
      </c>
      <c r="W74" s="56"/>
      <c r="X74" s="87"/>
      <c r="Y74" s="149" t="b">
        <v>1</v>
      </c>
      <c r="Z74" s="149" t="b">
        <v>1</v>
      </c>
      <c r="AA74" s="46" t="s">
        <v>65</v>
      </c>
      <c r="AB74" s="38"/>
      <c r="AC74" s="38"/>
      <c r="AD74" s="49"/>
      <c r="AE74" s="49"/>
      <c r="AF74" s="49"/>
      <c r="AG74" s="49"/>
      <c r="AH74" s="145" t="b">
        <v>0</v>
      </c>
      <c r="AI74" s="29" t="s">
        <v>66</v>
      </c>
      <c r="AJ74" s="49" t="s">
        <v>67</v>
      </c>
      <c r="AK74" s="46">
        <v>2020</v>
      </c>
      <c r="AL74" s="144" t="b">
        <v>1</v>
      </c>
      <c r="AM74" s="49">
        <v>1</v>
      </c>
      <c r="AN74" s="49" t="s">
        <v>44</v>
      </c>
      <c r="AO74" s="149" t="b">
        <v>1</v>
      </c>
      <c r="AP74" s="49" t="s">
        <v>520</v>
      </c>
      <c r="AQ74" s="107" t="s">
        <v>521</v>
      </c>
    </row>
    <row r="75" spans="1:43" ht="16.5" customHeight="1">
      <c r="A75" s="50" t="s">
        <v>341</v>
      </c>
      <c r="B75" s="51" t="s">
        <v>522</v>
      </c>
      <c r="C75" s="52" t="s">
        <v>343</v>
      </c>
      <c r="D75" s="26"/>
      <c r="E75" s="26" t="s">
        <v>93</v>
      </c>
      <c r="F75" s="24" t="s">
        <v>126</v>
      </c>
      <c r="G75" s="27" t="s">
        <v>56</v>
      </c>
      <c r="H75" s="51" t="s">
        <v>71</v>
      </c>
      <c r="I75" s="51" t="s">
        <v>385</v>
      </c>
      <c r="J75" s="26">
        <v>33.293945000000001</v>
      </c>
      <c r="K75" s="26">
        <v>-111.09623000000001</v>
      </c>
      <c r="L75" s="51" t="s">
        <v>523</v>
      </c>
      <c r="M75" s="28">
        <v>2407</v>
      </c>
      <c r="N75" s="144" t="b">
        <v>1</v>
      </c>
      <c r="O75" s="51" t="s">
        <v>524</v>
      </c>
      <c r="P75" s="36" t="s">
        <v>406</v>
      </c>
      <c r="Q75" s="26" t="s">
        <v>145</v>
      </c>
      <c r="R75" s="51" t="s">
        <v>76</v>
      </c>
      <c r="S75" s="31" t="s">
        <v>146</v>
      </c>
      <c r="T75" s="26" t="s">
        <v>147</v>
      </c>
      <c r="U75" s="51" t="s">
        <v>76</v>
      </c>
      <c r="V75" s="146" t="b">
        <v>0</v>
      </c>
      <c r="W75" s="92">
        <v>120</v>
      </c>
      <c r="X75" s="85">
        <v>40</v>
      </c>
      <c r="Y75" s="144" t="b">
        <v>1</v>
      </c>
      <c r="Z75" s="148" t="b">
        <v>0</v>
      </c>
      <c r="AA75" s="32">
        <v>6000</v>
      </c>
      <c r="AB75" s="26"/>
      <c r="AC75" s="26"/>
      <c r="AD75" s="35"/>
      <c r="AE75" s="35"/>
      <c r="AF75" s="35"/>
      <c r="AG75" s="35"/>
      <c r="AH75" s="146" t="b">
        <v>0</v>
      </c>
      <c r="AI75" s="35" t="s">
        <v>66</v>
      </c>
      <c r="AJ75" s="35" t="s">
        <v>115</v>
      </c>
      <c r="AK75" s="32"/>
      <c r="AL75" s="144" t="b">
        <v>1</v>
      </c>
      <c r="AM75" s="35">
        <v>1</v>
      </c>
      <c r="AN75" s="35" t="s">
        <v>44</v>
      </c>
      <c r="AO75" s="148" t="b">
        <v>1</v>
      </c>
      <c r="AP75" s="29" t="s">
        <v>161</v>
      </c>
      <c r="AQ75" s="53" t="s">
        <v>525</v>
      </c>
    </row>
    <row r="76" spans="1:43" ht="16.5" customHeight="1">
      <c r="A76" s="54" t="s">
        <v>341</v>
      </c>
      <c r="B76" s="41" t="s">
        <v>526</v>
      </c>
      <c r="C76" s="39" t="s">
        <v>343</v>
      </c>
      <c r="D76" s="38" t="s">
        <v>391</v>
      </c>
      <c r="E76" s="38" t="s">
        <v>54</v>
      </c>
      <c r="F76" s="24" t="s">
        <v>80</v>
      </c>
      <c r="G76" s="27" t="s">
        <v>56</v>
      </c>
      <c r="H76" s="41" t="s">
        <v>373</v>
      </c>
      <c r="I76" s="38" t="s">
        <v>527</v>
      </c>
      <c r="J76" s="38">
        <v>47.983451000000002</v>
      </c>
      <c r="K76" s="38">
        <v>-115.7693553</v>
      </c>
      <c r="L76" s="41" t="s">
        <v>528</v>
      </c>
      <c r="M76" s="42">
        <v>464</v>
      </c>
      <c r="N76" s="144" t="b">
        <v>1</v>
      </c>
      <c r="O76" s="38" t="s">
        <v>65</v>
      </c>
      <c r="P76" s="43" t="s">
        <v>65</v>
      </c>
      <c r="Q76" s="38" t="s">
        <v>529</v>
      </c>
      <c r="R76" s="41" t="s">
        <v>88</v>
      </c>
      <c r="S76" s="45" t="s">
        <v>530</v>
      </c>
      <c r="T76" s="38"/>
      <c r="U76" s="41"/>
      <c r="V76" s="147" t="b">
        <v>1</v>
      </c>
      <c r="W76" s="56"/>
      <c r="X76" s="87" t="s">
        <v>531</v>
      </c>
      <c r="Y76" s="149" t="b">
        <v>0</v>
      </c>
      <c r="Z76" s="149" t="b">
        <v>0</v>
      </c>
      <c r="AA76" s="46" t="s">
        <v>65</v>
      </c>
      <c r="AB76" s="38"/>
      <c r="AC76" s="38"/>
      <c r="AD76" s="49"/>
      <c r="AE76" s="49"/>
      <c r="AF76" s="49"/>
      <c r="AG76" s="49"/>
      <c r="AH76" s="145" t="b">
        <v>0</v>
      </c>
      <c r="AI76" s="49" t="s">
        <v>66</v>
      </c>
      <c r="AJ76" s="49" t="s">
        <v>115</v>
      </c>
      <c r="AK76" s="46"/>
      <c r="AL76" s="144" t="b">
        <v>1</v>
      </c>
      <c r="AM76" s="49"/>
      <c r="AN76" s="49" t="s">
        <v>14</v>
      </c>
      <c r="AO76" s="149" t="b">
        <v>1</v>
      </c>
      <c r="AP76" s="49" t="s">
        <v>161</v>
      </c>
      <c r="AQ76" s="80" t="s">
        <v>532</v>
      </c>
    </row>
    <row r="77" spans="1:43" ht="16.5" customHeight="1">
      <c r="A77" s="50" t="s">
        <v>341</v>
      </c>
      <c r="B77" s="51" t="s">
        <v>533</v>
      </c>
      <c r="C77" s="52" t="s">
        <v>53</v>
      </c>
      <c r="D77" s="26"/>
      <c r="E77" s="26" t="s">
        <v>287</v>
      </c>
      <c r="F77" s="24" t="s">
        <v>288</v>
      </c>
      <c r="G77" s="36" t="s">
        <v>70</v>
      </c>
      <c r="H77" s="51" t="s">
        <v>71</v>
      </c>
      <c r="I77" s="51" t="s">
        <v>534</v>
      </c>
      <c r="J77" s="26">
        <v>32.833244200000003</v>
      </c>
      <c r="K77" s="26">
        <v>-109.7131838</v>
      </c>
      <c r="L77" s="26" t="s">
        <v>485</v>
      </c>
      <c r="M77" s="28">
        <v>10129</v>
      </c>
      <c r="N77" s="144" t="b">
        <v>1</v>
      </c>
      <c r="O77" s="51" t="s">
        <v>533</v>
      </c>
      <c r="P77" s="30" t="s">
        <v>362</v>
      </c>
      <c r="Q77" s="26" t="s">
        <v>363</v>
      </c>
      <c r="R77" s="51" t="s">
        <v>88</v>
      </c>
      <c r="S77" s="108" t="s">
        <v>364</v>
      </c>
      <c r="T77" s="26"/>
      <c r="U77" s="51"/>
      <c r="V77" s="147" t="b">
        <v>1</v>
      </c>
      <c r="W77" s="92">
        <v>122</v>
      </c>
      <c r="X77" s="85">
        <v>34</v>
      </c>
      <c r="Y77" s="148" t="b">
        <v>1</v>
      </c>
      <c r="Z77" s="148" t="b">
        <v>1</v>
      </c>
      <c r="AA77" s="32" t="s">
        <v>65</v>
      </c>
      <c r="AB77" s="26">
        <v>1</v>
      </c>
      <c r="AC77" s="24" t="s">
        <v>148</v>
      </c>
      <c r="AD77" s="35">
        <v>2024</v>
      </c>
      <c r="AE77" s="35" t="s">
        <v>158</v>
      </c>
      <c r="AF77" s="35">
        <v>80</v>
      </c>
      <c r="AG77" s="35" t="s">
        <v>488</v>
      </c>
      <c r="AH77" s="146" t="b">
        <v>0</v>
      </c>
      <c r="AI77" s="29" t="s">
        <v>160</v>
      </c>
      <c r="AJ77" s="35" t="s">
        <v>65</v>
      </c>
      <c r="AK77" s="62">
        <v>2007</v>
      </c>
      <c r="AL77" s="148" t="b">
        <v>0</v>
      </c>
      <c r="AM77" s="35"/>
      <c r="AN77" s="35"/>
      <c r="AO77" s="148" t="b">
        <v>0</v>
      </c>
      <c r="AP77" s="35"/>
      <c r="AQ77" s="32"/>
    </row>
    <row r="78" spans="1:43" ht="16.5" customHeight="1">
      <c r="A78" s="54" t="s">
        <v>341</v>
      </c>
      <c r="B78" s="41" t="s">
        <v>535</v>
      </c>
      <c r="C78" s="39" t="s">
        <v>53</v>
      </c>
      <c r="D78" s="38" t="s">
        <v>361</v>
      </c>
      <c r="E78" s="24" t="s">
        <v>287</v>
      </c>
      <c r="F78" s="24" t="s">
        <v>536</v>
      </c>
      <c r="G78" s="40" t="s">
        <v>70</v>
      </c>
      <c r="H78" s="41" t="s">
        <v>71</v>
      </c>
      <c r="I78" s="41" t="s">
        <v>403</v>
      </c>
      <c r="J78" s="38">
        <v>31.848454799999999</v>
      </c>
      <c r="K78" s="38">
        <v>-111.0265945</v>
      </c>
      <c r="L78" s="41" t="s">
        <v>537</v>
      </c>
      <c r="M78" s="42">
        <v>22616</v>
      </c>
      <c r="N78" s="144" t="b">
        <v>1</v>
      </c>
      <c r="O78" s="41" t="s">
        <v>403</v>
      </c>
      <c r="P78" s="43" t="s">
        <v>362</v>
      </c>
      <c r="Q78" s="38" t="s">
        <v>363</v>
      </c>
      <c r="R78" s="41" t="s">
        <v>88</v>
      </c>
      <c r="S78" s="109" t="s">
        <v>364</v>
      </c>
      <c r="T78" s="38"/>
      <c r="U78" s="41"/>
      <c r="V78" s="147" t="b">
        <v>1</v>
      </c>
      <c r="W78" s="56">
        <v>85</v>
      </c>
      <c r="X78" s="48">
        <v>62</v>
      </c>
      <c r="Y78" s="149" t="b">
        <v>1</v>
      </c>
      <c r="Z78" s="144" t="b">
        <v>1</v>
      </c>
      <c r="AA78" s="46" t="s">
        <v>65</v>
      </c>
      <c r="AB78" s="38"/>
      <c r="AC78" s="38"/>
      <c r="AD78" s="49"/>
      <c r="AE78" s="49"/>
      <c r="AF78" s="49"/>
      <c r="AG78" s="49"/>
      <c r="AH78" s="145" t="b">
        <v>0</v>
      </c>
      <c r="AI78" s="49" t="s">
        <v>160</v>
      </c>
      <c r="AJ78" s="49" t="s">
        <v>65</v>
      </c>
      <c r="AK78" s="46"/>
      <c r="AL78" s="149" t="b">
        <v>0</v>
      </c>
      <c r="AM78" s="49"/>
      <c r="AN78" s="49"/>
      <c r="AO78" s="149" t="b">
        <v>0</v>
      </c>
      <c r="AP78" s="49"/>
      <c r="AQ78" s="46"/>
    </row>
    <row r="79" spans="1:43" ht="16.5" customHeight="1">
      <c r="A79" s="50" t="s">
        <v>341</v>
      </c>
      <c r="B79" s="51" t="s">
        <v>538</v>
      </c>
      <c r="C79" s="25" t="s">
        <v>53</v>
      </c>
      <c r="D79" s="51" t="s">
        <v>539</v>
      </c>
      <c r="E79" s="26" t="s">
        <v>287</v>
      </c>
      <c r="F79" s="24" t="s">
        <v>464</v>
      </c>
      <c r="G79" s="27" t="s">
        <v>56</v>
      </c>
      <c r="H79" s="51" t="s">
        <v>71</v>
      </c>
      <c r="I79" s="51" t="s">
        <v>403</v>
      </c>
      <c r="J79" s="51">
        <v>32.237189999999998</v>
      </c>
      <c r="K79" s="51">
        <v>-111.0792</v>
      </c>
      <c r="L79" s="51" t="s">
        <v>540</v>
      </c>
      <c r="M79" s="28">
        <v>51906</v>
      </c>
      <c r="N79" s="144" t="b">
        <v>1</v>
      </c>
      <c r="O79" s="51" t="s">
        <v>541</v>
      </c>
      <c r="P79" s="30" t="s">
        <v>65</v>
      </c>
      <c r="Q79" s="26" t="s">
        <v>472</v>
      </c>
      <c r="R79" s="51" t="s">
        <v>88</v>
      </c>
      <c r="S79" s="88" t="s">
        <v>542</v>
      </c>
      <c r="T79" s="26" t="s">
        <v>474</v>
      </c>
      <c r="U79" s="51" t="s">
        <v>475</v>
      </c>
      <c r="V79" s="147" t="b">
        <v>1</v>
      </c>
      <c r="W79" s="61"/>
      <c r="X79" s="34"/>
      <c r="Y79" s="148" t="b">
        <v>1</v>
      </c>
      <c r="Z79" s="144" t="b">
        <v>1</v>
      </c>
      <c r="AA79" s="32" t="s">
        <v>65</v>
      </c>
      <c r="AB79" s="26"/>
      <c r="AC79" s="26"/>
      <c r="AD79" s="35"/>
      <c r="AE79" s="35"/>
      <c r="AF79" s="35"/>
      <c r="AG79" s="35"/>
      <c r="AH79" s="146" t="b">
        <v>0</v>
      </c>
      <c r="AI79" s="35" t="s">
        <v>160</v>
      </c>
      <c r="AJ79" s="35" t="s">
        <v>65</v>
      </c>
      <c r="AK79" s="32"/>
      <c r="AL79" s="148" t="b">
        <v>0</v>
      </c>
      <c r="AM79" s="35"/>
      <c r="AN79" s="35"/>
      <c r="AO79" s="148" t="b">
        <v>0</v>
      </c>
      <c r="AP79" s="35"/>
      <c r="AQ79" s="32"/>
    </row>
    <row r="80" spans="1:43" ht="16.5" customHeight="1">
      <c r="A80" s="54" t="s">
        <v>341</v>
      </c>
      <c r="B80" s="41" t="s">
        <v>543</v>
      </c>
      <c r="C80" s="39" t="s">
        <v>69</v>
      </c>
      <c r="D80" s="38" t="s">
        <v>422</v>
      </c>
      <c r="E80" s="38" t="s">
        <v>287</v>
      </c>
      <c r="F80" s="24" t="s">
        <v>55</v>
      </c>
      <c r="G80" s="27" t="s">
        <v>56</v>
      </c>
      <c r="H80" s="41" t="s">
        <v>71</v>
      </c>
      <c r="I80" s="41" t="s">
        <v>423</v>
      </c>
      <c r="J80" s="38">
        <v>31.5402016</v>
      </c>
      <c r="K80" s="38">
        <v>-110.753927</v>
      </c>
      <c r="L80" s="41" t="s">
        <v>424</v>
      </c>
      <c r="M80" s="42">
        <v>804</v>
      </c>
      <c r="N80" s="144" t="b">
        <v>1</v>
      </c>
      <c r="O80" s="41" t="s">
        <v>425</v>
      </c>
      <c r="P80" s="43" t="s">
        <v>65</v>
      </c>
      <c r="Q80" s="38" t="s">
        <v>544</v>
      </c>
      <c r="R80" s="41" t="s">
        <v>63</v>
      </c>
      <c r="S80" s="110" t="s">
        <v>545</v>
      </c>
      <c r="T80" s="38"/>
      <c r="U80" s="41"/>
      <c r="V80" s="147" t="b">
        <v>1</v>
      </c>
      <c r="W80" s="56"/>
      <c r="X80" s="48"/>
      <c r="Y80" s="149" t="b">
        <v>0</v>
      </c>
      <c r="Z80" s="149" t="b">
        <v>0</v>
      </c>
      <c r="AA80" s="46" t="s">
        <v>65</v>
      </c>
      <c r="AB80" s="38"/>
      <c r="AC80" s="38"/>
      <c r="AD80" s="49"/>
      <c r="AE80" s="49"/>
      <c r="AF80" s="49"/>
      <c r="AG80" s="49"/>
      <c r="AH80" s="145" t="b">
        <v>0</v>
      </c>
      <c r="AI80" s="49" t="s">
        <v>66</v>
      </c>
      <c r="AJ80" s="49" t="s">
        <v>115</v>
      </c>
      <c r="AK80" s="46"/>
      <c r="AL80" s="144" t="b">
        <v>1</v>
      </c>
      <c r="AM80" s="49">
        <v>2</v>
      </c>
      <c r="AN80" s="35" t="s">
        <v>44</v>
      </c>
      <c r="AO80" s="149" t="b">
        <v>1</v>
      </c>
      <c r="AP80" s="49" t="s">
        <v>161</v>
      </c>
      <c r="AQ80" s="111" t="s">
        <v>546</v>
      </c>
    </row>
    <row r="81" spans="1:43" ht="16.5" customHeight="1">
      <c r="A81" s="23" t="s">
        <v>341</v>
      </c>
      <c r="B81" s="26" t="s">
        <v>547</v>
      </c>
      <c r="C81" s="52" t="s">
        <v>366</v>
      </c>
      <c r="D81" s="26" t="s">
        <v>548</v>
      </c>
      <c r="E81" s="26" t="s">
        <v>93</v>
      </c>
      <c r="F81" s="26" t="s">
        <v>80</v>
      </c>
      <c r="G81" s="36" t="s">
        <v>70</v>
      </c>
      <c r="H81" s="26" t="s">
        <v>71</v>
      </c>
      <c r="I81" s="26" t="s">
        <v>385</v>
      </c>
      <c r="J81" s="26">
        <v>32.877283400000003</v>
      </c>
      <c r="K81" s="26">
        <v>-111.7536818</v>
      </c>
      <c r="L81" s="26" t="s">
        <v>386</v>
      </c>
      <c r="M81" s="28">
        <v>63743</v>
      </c>
      <c r="N81" s="144" t="b">
        <v>1</v>
      </c>
      <c r="O81" s="26" t="s">
        <v>549</v>
      </c>
      <c r="P81" s="36" t="s">
        <v>65</v>
      </c>
      <c r="Q81" s="26" t="s">
        <v>550</v>
      </c>
      <c r="R81" s="26" t="s">
        <v>88</v>
      </c>
      <c r="S81" s="26"/>
      <c r="T81" s="97" t="s">
        <v>551</v>
      </c>
      <c r="U81" s="26"/>
      <c r="V81" s="146" t="b">
        <v>0</v>
      </c>
      <c r="W81" s="33"/>
      <c r="X81" s="34"/>
      <c r="Y81" s="148" t="b">
        <v>1</v>
      </c>
      <c r="Z81" s="148" t="b">
        <v>1</v>
      </c>
      <c r="AA81" s="32"/>
      <c r="AB81" s="26"/>
      <c r="AC81" s="26"/>
      <c r="AD81" s="35"/>
      <c r="AE81" s="35"/>
      <c r="AF81" s="35"/>
      <c r="AG81" s="35"/>
      <c r="AH81" s="146" t="b">
        <v>0</v>
      </c>
      <c r="AI81" s="29" t="s">
        <v>66</v>
      </c>
      <c r="AJ81" s="35" t="s">
        <v>65</v>
      </c>
      <c r="AK81" s="32"/>
      <c r="AL81" s="148" t="b">
        <v>0</v>
      </c>
      <c r="AM81" s="35"/>
      <c r="AN81" s="35"/>
      <c r="AO81" s="148" t="b">
        <v>0</v>
      </c>
      <c r="AP81" s="35"/>
      <c r="AQ81" s="112"/>
    </row>
    <row r="82" spans="1:43" ht="16.5" customHeight="1">
      <c r="A82" s="37" t="s">
        <v>341</v>
      </c>
      <c r="B82" s="38" t="s">
        <v>552</v>
      </c>
      <c r="C82" s="39" t="s">
        <v>69</v>
      </c>
      <c r="D82" s="38" t="s">
        <v>553</v>
      </c>
      <c r="E82" s="38" t="s">
        <v>93</v>
      </c>
      <c r="F82" s="24" t="s">
        <v>55</v>
      </c>
      <c r="G82" s="40" t="s">
        <v>70</v>
      </c>
      <c r="H82" s="38" t="s">
        <v>554</v>
      </c>
      <c r="I82" s="38" t="s">
        <v>511</v>
      </c>
      <c r="J82" s="38">
        <v>45.102460000000001</v>
      </c>
      <c r="K82" s="38">
        <v>-113.54599</v>
      </c>
      <c r="L82" s="38" t="s">
        <v>512</v>
      </c>
      <c r="M82" s="42">
        <v>6724</v>
      </c>
      <c r="N82" s="144" t="b">
        <v>1</v>
      </c>
      <c r="O82" s="38" t="s">
        <v>513</v>
      </c>
      <c r="P82" s="40"/>
      <c r="Q82" s="38" t="s">
        <v>435</v>
      </c>
      <c r="R82" s="38" t="s">
        <v>88</v>
      </c>
      <c r="S82" s="113" t="s">
        <v>555</v>
      </c>
      <c r="T82" s="38"/>
      <c r="U82" s="38"/>
      <c r="V82" s="145" t="b">
        <v>0</v>
      </c>
      <c r="W82" s="47"/>
      <c r="X82" s="48"/>
      <c r="Y82" s="149" t="b">
        <v>0</v>
      </c>
      <c r="Z82" s="149" t="b">
        <v>0</v>
      </c>
      <c r="AA82" s="46"/>
      <c r="AB82" s="38"/>
      <c r="AC82" s="38"/>
      <c r="AD82" s="49"/>
      <c r="AE82" s="49"/>
      <c r="AF82" s="49"/>
      <c r="AG82" s="49"/>
      <c r="AH82" s="145" t="b">
        <v>0</v>
      </c>
      <c r="AI82" s="49" t="s">
        <v>66</v>
      </c>
      <c r="AJ82" s="29" t="s">
        <v>115</v>
      </c>
      <c r="AK82" s="46"/>
      <c r="AL82" s="149" t="b">
        <v>0</v>
      </c>
      <c r="AM82" s="49"/>
      <c r="AN82" s="49"/>
      <c r="AO82" s="149" t="b">
        <v>0</v>
      </c>
      <c r="AP82" s="49"/>
      <c r="AQ82" s="96"/>
    </row>
    <row r="83" spans="1:43" ht="16.5" customHeight="1">
      <c r="A83" s="23" t="s">
        <v>341</v>
      </c>
      <c r="B83" s="26" t="s">
        <v>556</v>
      </c>
      <c r="C83" s="52" t="s">
        <v>53</v>
      </c>
      <c r="D83" s="26" t="s">
        <v>557</v>
      </c>
      <c r="E83" s="26" t="s">
        <v>54</v>
      </c>
      <c r="F83" s="24" t="s">
        <v>80</v>
      </c>
      <c r="G83" s="27" t="s">
        <v>56</v>
      </c>
      <c r="H83" s="26" t="s">
        <v>558</v>
      </c>
      <c r="I83" s="26" t="s">
        <v>559</v>
      </c>
      <c r="J83" s="26">
        <v>47.901570999999997</v>
      </c>
      <c r="K83" s="26">
        <v>-91.857247900000004</v>
      </c>
      <c r="L83" s="26" t="s">
        <v>560</v>
      </c>
      <c r="M83" s="28">
        <v>3268</v>
      </c>
      <c r="N83" s="144" t="b">
        <v>1</v>
      </c>
      <c r="O83" s="26" t="s">
        <v>561</v>
      </c>
      <c r="P83" s="36" t="s">
        <v>562</v>
      </c>
      <c r="Q83" s="26" t="s">
        <v>556</v>
      </c>
      <c r="R83" s="26" t="s">
        <v>563</v>
      </c>
      <c r="S83" s="26" t="s">
        <v>564</v>
      </c>
      <c r="T83" s="24" t="s">
        <v>565</v>
      </c>
      <c r="U83" s="26" t="s">
        <v>76</v>
      </c>
      <c r="V83" s="146" t="b">
        <v>0</v>
      </c>
      <c r="W83" s="33"/>
      <c r="X83" s="34">
        <v>30</v>
      </c>
      <c r="Y83" s="148" t="b">
        <v>0</v>
      </c>
      <c r="Z83" s="148" t="b">
        <v>0</v>
      </c>
      <c r="AA83" s="32">
        <v>1700</v>
      </c>
      <c r="AB83" s="26"/>
      <c r="AC83" s="26"/>
      <c r="AD83" s="35"/>
      <c r="AE83" s="35"/>
      <c r="AF83" s="35"/>
      <c r="AG83" s="35"/>
      <c r="AH83" s="146" t="b">
        <v>0</v>
      </c>
      <c r="AI83" s="35" t="s">
        <v>66</v>
      </c>
      <c r="AJ83" s="35" t="s">
        <v>115</v>
      </c>
      <c r="AK83" s="32"/>
      <c r="AL83" s="144" t="b">
        <v>1</v>
      </c>
      <c r="AM83" s="35">
        <v>2</v>
      </c>
      <c r="AN83" s="35" t="s">
        <v>44</v>
      </c>
      <c r="AO83" s="148" t="b">
        <v>1</v>
      </c>
      <c r="AP83" s="35" t="s">
        <v>161</v>
      </c>
      <c r="AQ83" s="89" t="s">
        <v>566</v>
      </c>
    </row>
    <row r="84" spans="1:43" ht="16.5" customHeight="1">
      <c r="A84" s="54" t="s">
        <v>341</v>
      </c>
      <c r="B84" s="41" t="s">
        <v>567</v>
      </c>
      <c r="C84" s="39" t="s">
        <v>343</v>
      </c>
      <c r="D84" s="38"/>
      <c r="E84" s="24" t="s">
        <v>93</v>
      </c>
      <c r="F84" s="24" t="s">
        <v>126</v>
      </c>
      <c r="G84" s="40" t="s">
        <v>70</v>
      </c>
      <c r="H84" s="41" t="s">
        <v>414</v>
      </c>
      <c r="I84" s="38" t="s">
        <v>568</v>
      </c>
      <c r="J84" s="38">
        <v>46.753836100000001</v>
      </c>
      <c r="K84" s="38">
        <v>-89.584043300000005</v>
      </c>
      <c r="L84" s="38" t="s">
        <v>569</v>
      </c>
      <c r="M84" s="42">
        <v>339</v>
      </c>
      <c r="N84" s="144" t="b">
        <v>1</v>
      </c>
      <c r="O84" s="38" t="s">
        <v>65</v>
      </c>
      <c r="P84" s="40" t="s">
        <v>417</v>
      </c>
      <c r="Q84" s="38" t="s">
        <v>570</v>
      </c>
      <c r="R84" s="41" t="s">
        <v>63</v>
      </c>
      <c r="S84" s="64" t="s">
        <v>571</v>
      </c>
      <c r="T84" s="38" t="s">
        <v>420</v>
      </c>
      <c r="U84" s="41" t="s">
        <v>63</v>
      </c>
      <c r="V84" s="147" t="b">
        <v>1</v>
      </c>
      <c r="W84" s="56">
        <v>16.5</v>
      </c>
      <c r="X84" s="87">
        <v>11</v>
      </c>
      <c r="Y84" s="149" t="b">
        <v>0</v>
      </c>
      <c r="Z84" s="149" t="b">
        <v>0</v>
      </c>
      <c r="AA84" s="46">
        <v>884</v>
      </c>
      <c r="AB84" s="38"/>
      <c r="AC84" s="38"/>
      <c r="AD84" s="49"/>
      <c r="AE84" s="49"/>
      <c r="AF84" s="49"/>
      <c r="AG84" s="49"/>
      <c r="AH84" s="145" t="b">
        <v>0</v>
      </c>
      <c r="AI84" s="49" t="s">
        <v>66</v>
      </c>
      <c r="AJ84" s="49"/>
      <c r="AK84" s="46"/>
      <c r="AL84" s="149" t="b">
        <v>0</v>
      </c>
      <c r="AM84" s="49"/>
      <c r="AN84" s="35"/>
      <c r="AO84" s="149" t="b">
        <v>0</v>
      </c>
      <c r="AP84" s="49"/>
      <c r="AQ84" s="46"/>
    </row>
    <row r="85" spans="1:43" ht="15.75" customHeight="1">
      <c r="A85" s="50" t="s">
        <v>341</v>
      </c>
      <c r="B85" s="58" t="s">
        <v>572</v>
      </c>
      <c r="C85" s="25" t="s">
        <v>53</v>
      </c>
      <c r="D85" s="26"/>
      <c r="E85" s="26" t="s">
        <v>93</v>
      </c>
      <c r="F85" s="24" t="s">
        <v>55</v>
      </c>
      <c r="G85" s="36" t="s">
        <v>70</v>
      </c>
      <c r="H85" s="51" t="s">
        <v>57</v>
      </c>
      <c r="I85" s="26" t="s">
        <v>460</v>
      </c>
      <c r="J85" s="26">
        <v>38.985542899999999</v>
      </c>
      <c r="K85" s="26">
        <v>-119.162989</v>
      </c>
      <c r="L85" s="26" t="s">
        <v>461</v>
      </c>
      <c r="M85" s="28">
        <v>3048</v>
      </c>
      <c r="N85" s="144" t="b">
        <v>1</v>
      </c>
      <c r="O85" s="26" t="s">
        <v>573</v>
      </c>
      <c r="P85" s="30" t="s">
        <v>65</v>
      </c>
      <c r="Q85" s="26" t="s">
        <v>574</v>
      </c>
      <c r="R85" s="51" t="s">
        <v>76</v>
      </c>
      <c r="S85" s="31"/>
      <c r="T85" s="26" t="s">
        <v>575</v>
      </c>
      <c r="U85" s="51" t="s">
        <v>63</v>
      </c>
      <c r="V85" s="146" t="b">
        <v>1</v>
      </c>
      <c r="W85" s="61">
        <v>41.5</v>
      </c>
      <c r="X85" s="85">
        <v>12</v>
      </c>
      <c r="Y85" s="144" t="b">
        <v>1</v>
      </c>
      <c r="Z85" s="148" t="b">
        <v>1</v>
      </c>
      <c r="AA85" s="32">
        <v>413</v>
      </c>
      <c r="AB85" s="26"/>
      <c r="AC85" s="26"/>
      <c r="AD85" s="35"/>
      <c r="AE85" s="35"/>
      <c r="AF85" s="35"/>
      <c r="AG85" s="35"/>
      <c r="AH85" s="146" t="b">
        <v>0</v>
      </c>
      <c r="AI85" s="35" t="s">
        <v>101</v>
      </c>
      <c r="AJ85" s="35" t="s">
        <v>67</v>
      </c>
      <c r="AK85" s="32"/>
      <c r="AL85" s="148" t="b">
        <v>0</v>
      </c>
      <c r="AM85" s="35"/>
      <c r="AN85" s="35"/>
      <c r="AO85" s="148" t="b">
        <v>0</v>
      </c>
      <c r="AP85" s="35"/>
      <c r="AQ85" s="32"/>
    </row>
    <row r="86" spans="1:43" ht="15.75" customHeight="1">
      <c r="A86" s="54" t="s">
        <v>576</v>
      </c>
      <c r="B86" s="41" t="s">
        <v>577</v>
      </c>
      <c r="C86" s="39" t="s">
        <v>69</v>
      </c>
      <c r="D86" s="41" t="s">
        <v>578</v>
      </c>
      <c r="E86" s="24" t="s">
        <v>93</v>
      </c>
      <c r="F86" s="24" t="s">
        <v>80</v>
      </c>
      <c r="G86" s="40" t="s">
        <v>70</v>
      </c>
      <c r="H86" s="41" t="s">
        <v>431</v>
      </c>
      <c r="I86" s="41" t="s">
        <v>511</v>
      </c>
      <c r="J86" s="38">
        <v>45.092614500000003</v>
      </c>
      <c r="K86" s="38">
        <v>-114.2330182</v>
      </c>
      <c r="L86" s="41" t="s">
        <v>579</v>
      </c>
      <c r="M86" s="42">
        <v>13</v>
      </c>
      <c r="N86" s="144" t="b">
        <v>1</v>
      </c>
      <c r="O86" s="38" t="s">
        <v>580</v>
      </c>
      <c r="P86" s="40" t="s">
        <v>581</v>
      </c>
      <c r="Q86" s="38" t="s">
        <v>582</v>
      </c>
      <c r="R86" s="41" t="s">
        <v>86</v>
      </c>
      <c r="S86" s="64" t="s">
        <v>583</v>
      </c>
      <c r="T86" s="38"/>
      <c r="U86" s="41"/>
      <c r="V86" s="145" t="b">
        <v>1</v>
      </c>
      <c r="W86" s="47"/>
      <c r="X86" s="48"/>
      <c r="Y86" s="149" t="b">
        <v>0</v>
      </c>
      <c r="Z86" s="149" t="b">
        <v>0</v>
      </c>
      <c r="AA86" s="46" t="s">
        <v>65</v>
      </c>
      <c r="AB86" s="38"/>
      <c r="AC86" s="38"/>
      <c r="AD86" s="49"/>
      <c r="AE86" s="49"/>
      <c r="AF86" s="49"/>
      <c r="AG86" s="49"/>
      <c r="AH86" s="145" t="b">
        <v>0</v>
      </c>
      <c r="AI86" s="29" t="s">
        <v>66</v>
      </c>
      <c r="AJ86" s="49" t="s">
        <v>115</v>
      </c>
      <c r="AK86" s="46"/>
      <c r="AL86" s="149" t="b">
        <v>0</v>
      </c>
      <c r="AM86" s="49"/>
      <c r="AN86" s="49"/>
      <c r="AO86" s="149" t="b">
        <v>0</v>
      </c>
      <c r="AP86" s="49"/>
      <c r="AQ86" s="46"/>
    </row>
    <row r="87" spans="1:43" ht="15.75" customHeight="1">
      <c r="A87" s="50" t="s">
        <v>576</v>
      </c>
      <c r="B87" s="51" t="s">
        <v>584</v>
      </c>
      <c r="C87" s="52" t="s">
        <v>343</v>
      </c>
      <c r="D87" s="26"/>
      <c r="E87" s="26" t="s">
        <v>93</v>
      </c>
      <c r="F87" s="24" t="s">
        <v>80</v>
      </c>
      <c r="G87" s="36" t="s">
        <v>70</v>
      </c>
      <c r="H87" s="51" t="s">
        <v>431</v>
      </c>
      <c r="I87" s="51" t="s">
        <v>511</v>
      </c>
      <c r="J87" s="26">
        <v>45.092614500000003</v>
      </c>
      <c r="K87" s="26">
        <v>-114.2330182</v>
      </c>
      <c r="L87" s="51" t="s">
        <v>579</v>
      </c>
      <c r="M87" s="28">
        <v>13</v>
      </c>
      <c r="N87" s="144" t="b">
        <v>1</v>
      </c>
      <c r="O87" s="26" t="s">
        <v>580</v>
      </c>
      <c r="P87" s="36" t="s">
        <v>581</v>
      </c>
      <c r="Q87" s="26" t="s">
        <v>585</v>
      </c>
      <c r="R87" s="26" t="s">
        <v>63</v>
      </c>
      <c r="S87" s="31" t="s">
        <v>586</v>
      </c>
      <c r="T87" s="26" t="s">
        <v>585</v>
      </c>
      <c r="U87" s="26" t="s">
        <v>63</v>
      </c>
      <c r="V87" s="146" t="b">
        <v>0</v>
      </c>
      <c r="W87" s="33"/>
      <c r="X87" s="34"/>
      <c r="Y87" s="148" t="b">
        <v>0</v>
      </c>
      <c r="Z87" s="148" t="b">
        <v>0</v>
      </c>
      <c r="AA87" s="32" t="s">
        <v>65</v>
      </c>
      <c r="AB87" s="26"/>
      <c r="AC87" s="26"/>
      <c r="AD87" s="35"/>
      <c r="AE87" s="35"/>
      <c r="AF87" s="35"/>
      <c r="AG87" s="35"/>
      <c r="AH87" s="146" t="b">
        <v>0</v>
      </c>
      <c r="AI87" s="29" t="s">
        <v>66</v>
      </c>
      <c r="AJ87" s="35" t="s">
        <v>115</v>
      </c>
      <c r="AK87" s="32"/>
      <c r="AL87" s="148" t="b">
        <v>0</v>
      </c>
      <c r="AM87" s="35"/>
      <c r="AN87" s="35"/>
      <c r="AO87" s="148" t="b">
        <v>0</v>
      </c>
      <c r="AP87" s="35"/>
      <c r="AQ87" s="32"/>
    </row>
    <row r="88" spans="1:43" ht="15.75" customHeight="1">
      <c r="A88" s="54" t="s">
        <v>576</v>
      </c>
      <c r="B88" s="41" t="s">
        <v>587</v>
      </c>
      <c r="C88" s="39" t="s">
        <v>69</v>
      </c>
      <c r="D88" s="38"/>
      <c r="E88" s="24" t="s">
        <v>93</v>
      </c>
      <c r="F88" s="24" t="s">
        <v>80</v>
      </c>
      <c r="G88" s="40" t="s">
        <v>70</v>
      </c>
      <c r="H88" s="41" t="s">
        <v>431</v>
      </c>
      <c r="I88" s="41" t="s">
        <v>511</v>
      </c>
      <c r="J88" s="38">
        <v>45.175921299999999</v>
      </c>
      <c r="K88" s="38">
        <v>-113.89577300000001</v>
      </c>
      <c r="L88" s="41" t="s">
        <v>512</v>
      </c>
      <c r="M88" s="42">
        <v>3295</v>
      </c>
      <c r="N88" s="144" t="b">
        <v>1</v>
      </c>
      <c r="O88" s="38" t="s">
        <v>588</v>
      </c>
      <c r="P88" s="40" t="s">
        <v>581</v>
      </c>
      <c r="Q88" s="38" t="s">
        <v>582</v>
      </c>
      <c r="R88" s="41" t="s">
        <v>86</v>
      </c>
      <c r="S88" s="64" t="s">
        <v>583</v>
      </c>
      <c r="T88" s="38"/>
      <c r="U88" s="41"/>
      <c r="V88" s="145" t="b">
        <v>0</v>
      </c>
      <c r="W88" s="47"/>
      <c r="X88" s="48"/>
      <c r="Y88" s="149" t="b">
        <v>0</v>
      </c>
      <c r="Z88" s="149" t="b">
        <v>0</v>
      </c>
      <c r="AA88" s="46" t="s">
        <v>65</v>
      </c>
      <c r="AB88" s="38"/>
      <c r="AC88" s="38"/>
      <c r="AD88" s="49"/>
      <c r="AE88" s="49"/>
      <c r="AF88" s="49"/>
      <c r="AG88" s="49"/>
      <c r="AH88" s="145" t="b">
        <v>0</v>
      </c>
      <c r="AI88" s="49" t="s">
        <v>66</v>
      </c>
      <c r="AJ88" s="49" t="s">
        <v>115</v>
      </c>
      <c r="AK88" s="46"/>
      <c r="AL88" s="149" t="b">
        <v>0</v>
      </c>
      <c r="AM88" s="49"/>
      <c r="AN88" s="49"/>
      <c r="AO88" s="149" t="b">
        <v>0</v>
      </c>
      <c r="AP88" s="49"/>
      <c r="AQ88" s="46"/>
    </row>
    <row r="89" spans="1:43" ht="15.75" customHeight="1">
      <c r="A89" s="50" t="s">
        <v>576</v>
      </c>
      <c r="B89" s="51" t="s">
        <v>589</v>
      </c>
      <c r="C89" s="52" t="s">
        <v>69</v>
      </c>
      <c r="D89" s="51" t="s">
        <v>341</v>
      </c>
      <c r="E89" s="24" t="s">
        <v>93</v>
      </c>
      <c r="F89" s="24" t="s">
        <v>80</v>
      </c>
      <c r="G89" s="36" t="s">
        <v>70</v>
      </c>
      <c r="H89" s="51" t="s">
        <v>431</v>
      </c>
      <c r="I89" s="51" t="s">
        <v>511</v>
      </c>
      <c r="J89" s="26">
        <v>45.175921299999999</v>
      </c>
      <c r="K89" s="26">
        <v>-113.89577300000001</v>
      </c>
      <c r="L89" s="51" t="s">
        <v>512</v>
      </c>
      <c r="M89" s="28">
        <v>3295</v>
      </c>
      <c r="N89" s="144" t="b">
        <v>1</v>
      </c>
      <c r="O89" s="51" t="s">
        <v>580</v>
      </c>
      <c r="P89" s="30" t="s">
        <v>581</v>
      </c>
      <c r="Q89" s="58" t="s">
        <v>582</v>
      </c>
      <c r="R89" s="51" t="s">
        <v>86</v>
      </c>
      <c r="S89" s="31" t="s">
        <v>590</v>
      </c>
      <c r="T89" s="26"/>
      <c r="U89" s="51"/>
      <c r="V89" s="147" t="b">
        <v>1</v>
      </c>
      <c r="W89" s="33"/>
      <c r="X89" s="34"/>
      <c r="Y89" s="148" t="b">
        <v>0</v>
      </c>
      <c r="Z89" s="148" t="b">
        <v>0</v>
      </c>
      <c r="AA89" s="32" t="s">
        <v>65</v>
      </c>
      <c r="AB89" s="26"/>
      <c r="AC89" s="26"/>
      <c r="AD89" s="35"/>
      <c r="AE89" s="35"/>
      <c r="AF89" s="35"/>
      <c r="AG89" s="35"/>
      <c r="AH89" s="146" t="b">
        <v>0</v>
      </c>
      <c r="AI89" s="29" t="s">
        <v>66</v>
      </c>
      <c r="AJ89" s="35" t="s">
        <v>115</v>
      </c>
      <c r="AK89" s="32"/>
      <c r="AL89" s="148" t="b">
        <v>0</v>
      </c>
      <c r="AM89" s="35"/>
      <c r="AN89" s="35"/>
      <c r="AO89" s="148" t="b">
        <v>0</v>
      </c>
      <c r="AP89" s="35"/>
      <c r="AQ89" s="32"/>
    </row>
    <row r="90" spans="1:43" ht="15.75" customHeight="1">
      <c r="A90" s="54" t="s">
        <v>576</v>
      </c>
      <c r="B90" s="41" t="s">
        <v>591</v>
      </c>
      <c r="C90" s="39" t="s">
        <v>69</v>
      </c>
      <c r="D90" s="41" t="s">
        <v>341</v>
      </c>
      <c r="E90" s="24" t="s">
        <v>93</v>
      </c>
      <c r="F90" s="24" t="s">
        <v>80</v>
      </c>
      <c r="G90" s="40" t="s">
        <v>70</v>
      </c>
      <c r="H90" s="41" t="s">
        <v>57</v>
      </c>
      <c r="I90" s="41" t="s">
        <v>592</v>
      </c>
      <c r="J90" s="38">
        <v>35.832454200000001</v>
      </c>
      <c r="K90" s="38">
        <v>-115.4338295</v>
      </c>
      <c r="L90" s="41" t="s">
        <v>593</v>
      </c>
      <c r="M90" s="42">
        <v>162</v>
      </c>
      <c r="N90" s="144" t="b">
        <v>1</v>
      </c>
      <c r="O90" s="41" t="s">
        <v>594</v>
      </c>
      <c r="P90" s="40" t="s">
        <v>217</v>
      </c>
      <c r="Q90" s="41" t="s">
        <v>582</v>
      </c>
      <c r="R90" s="41" t="s">
        <v>86</v>
      </c>
      <c r="S90" s="64" t="s">
        <v>595</v>
      </c>
      <c r="T90" s="38"/>
      <c r="U90" s="41"/>
      <c r="V90" s="147" t="b">
        <v>1</v>
      </c>
      <c r="W90" s="47"/>
      <c r="X90" s="48"/>
      <c r="Y90" s="149" t="b">
        <v>0</v>
      </c>
      <c r="Z90" s="149" t="b">
        <v>0</v>
      </c>
      <c r="AA90" s="46" t="s">
        <v>65</v>
      </c>
      <c r="AB90" s="38"/>
      <c r="AC90" s="38"/>
      <c r="AD90" s="49"/>
      <c r="AE90" s="49"/>
      <c r="AF90" s="49"/>
      <c r="AG90" s="49"/>
      <c r="AH90" s="145" t="b">
        <v>0</v>
      </c>
      <c r="AI90" s="29" t="s">
        <v>66</v>
      </c>
      <c r="AJ90" s="49" t="s">
        <v>67</v>
      </c>
      <c r="AK90" s="46"/>
      <c r="AL90" s="149" t="b">
        <v>0</v>
      </c>
      <c r="AM90" s="49"/>
      <c r="AN90" s="49"/>
      <c r="AO90" s="149" t="b">
        <v>0</v>
      </c>
      <c r="AP90" s="49"/>
      <c r="AQ90" s="46"/>
    </row>
    <row r="91" spans="1:43" ht="15.75" customHeight="1">
      <c r="A91" s="23" t="s">
        <v>576</v>
      </c>
      <c r="B91" s="26" t="s">
        <v>596</v>
      </c>
      <c r="C91" s="52" t="s">
        <v>53</v>
      </c>
      <c r="D91" s="26" t="s">
        <v>597</v>
      </c>
      <c r="E91" s="26" t="s">
        <v>93</v>
      </c>
      <c r="F91" s="24" t="s">
        <v>80</v>
      </c>
      <c r="G91" s="36" t="s">
        <v>70</v>
      </c>
      <c r="H91" s="26" t="s">
        <v>431</v>
      </c>
      <c r="I91" s="26" t="s">
        <v>511</v>
      </c>
      <c r="J91" s="26">
        <v>45.175921299999999</v>
      </c>
      <c r="K91" s="26">
        <v>-113.89577300000001</v>
      </c>
      <c r="L91" s="26" t="s">
        <v>512</v>
      </c>
      <c r="M91" s="28">
        <v>3295</v>
      </c>
      <c r="N91" s="144" t="b">
        <v>1</v>
      </c>
      <c r="O91" s="26" t="s">
        <v>580</v>
      </c>
      <c r="P91" s="36" t="s">
        <v>581</v>
      </c>
      <c r="Q91" s="26" t="s">
        <v>598</v>
      </c>
      <c r="R91" s="26" t="s">
        <v>86</v>
      </c>
      <c r="S91" s="31" t="s">
        <v>599</v>
      </c>
      <c r="T91" s="26" t="s">
        <v>600</v>
      </c>
      <c r="U91" s="26" t="s">
        <v>86</v>
      </c>
      <c r="V91" s="146" t="b">
        <v>1</v>
      </c>
      <c r="W91" s="33">
        <v>8</v>
      </c>
      <c r="X91" s="34">
        <v>12.5</v>
      </c>
      <c r="Y91" s="148" t="b">
        <v>1</v>
      </c>
      <c r="Z91" s="148" t="b">
        <v>1</v>
      </c>
      <c r="AA91" s="32">
        <v>307</v>
      </c>
      <c r="AB91" s="26">
        <v>1</v>
      </c>
      <c r="AC91" s="26" t="s">
        <v>601</v>
      </c>
      <c r="AD91" s="35">
        <v>2023</v>
      </c>
      <c r="AE91" s="35" t="s">
        <v>158</v>
      </c>
      <c r="AF91" s="35">
        <v>15</v>
      </c>
      <c r="AG91" s="35" t="s">
        <v>55</v>
      </c>
      <c r="AH91" s="146" t="b">
        <v>0</v>
      </c>
      <c r="AI91" s="35" t="s">
        <v>66</v>
      </c>
      <c r="AJ91" s="35" t="s">
        <v>115</v>
      </c>
      <c r="AK91" s="32"/>
      <c r="AL91" s="148" t="b">
        <v>0</v>
      </c>
      <c r="AM91" s="35"/>
      <c r="AN91" s="35"/>
      <c r="AO91" s="148" t="b">
        <v>0</v>
      </c>
      <c r="AP91" s="35"/>
      <c r="AQ91" s="32"/>
    </row>
    <row r="92" spans="1:43" ht="15.75" customHeight="1">
      <c r="A92" s="37" t="s">
        <v>576</v>
      </c>
      <c r="B92" s="24" t="s">
        <v>602</v>
      </c>
      <c r="C92" s="39" t="s">
        <v>53</v>
      </c>
      <c r="D92" s="24" t="s">
        <v>597</v>
      </c>
      <c r="E92" s="24" t="s">
        <v>54</v>
      </c>
      <c r="F92" s="24" t="s">
        <v>126</v>
      </c>
      <c r="G92" s="40" t="s">
        <v>70</v>
      </c>
      <c r="H92" s="38" t="s">
        <v>431</v>
      </c>
      <c r="I92" s="38" t="s">
        <v>511</v>
      </c>
      <c r="J92" s="38">
        <v>45.175921299999999</v>
      </c>
      <c r="K92" s="38">
        <v>-113.89577300000001</v>
      </c>
      <c r="L92" s="38" t="s">
        <v>512</v>
      </c>
      <c r="M92" s="42">
        <v>3295</v>
      </c>
      <c r="N92" s="144" t="b">
        <v>1</v>
      </c>
      <c r="O92" s="38" t="s">
        <v>580</v>
      </c>
      <c r="P92" s="40" t="s">
        <v>581</v>
      </c>
      <c r="Q92" s="24" t="s">
        <v>603</v>
      </c>
      <c r="R92" s="38" t="s">
        <v>63</v>
      </c>
      <c r="S92" s="64" t="s">
        <v>604</v>
      </c>
      <c r="T92" s="38"/>
      <c r="U92" s="38"/>
      <c r="V92" s="145" t="b">
        <v>0</v>
      </c>
      <c r="W92" s="47"/>
      <c r="X92" s="48">
        <v>28</v>
      </c>
      <c r="Y92" s="149" t="b">
        <v>1</v>
      </c>
      <c r="Z92" s="149" t="b">
        <v>0</v>
      </c>
      <c r="AA92" s="46" t="s">
        <v>65</v>
      </c>
      <c r="AB92" s="38"/>
      <c r="AC92" s="38"/>
      <c r="AD92" s="49"/>
      <c r="AE92" s="49"/>
      <c r="AF92" s="49"/>
      <c r="AG92" s="49"/>
      <c r="AH92" s="145" t="b">
        <v>0</v>
      </c>
      <c r="AI92" s="29" t="s">
        <v>66</v>
      </c>
      <c r="AJ92" s="49" t="s">
        <v>115</v>
      </c>
      <c r="AK92" s="46"/>
      <c r="AL92" s="149" t="b">
        <v>0</v>
      </c>
      <c r="AM92" s="49"/>
      <c r="AN92" s="49"/>
      <c r="AO92" s="149" t="b">
        <v>0</v>
      </c>
      <c r="AP92" s="49"/>
      <c r="AQ92" s="46"/>
    </row>
    <row r="93" spans="1:43" ht="15.75" customHeight="1">
      <c r="A93" s="50" t="s">
        <v>576</v>
      </c>
      <c r="B93" s="51" t="s">
        <v>605</v>
      </c>
      <c r="C93" s="52" t="s">
        <v>343</v>
      </c>
      <c r="D93" s="51" t="s">
        <v>341</v>
      </c>
      <c r="E93" s="26" t="s">
        <v>54</v>
      </c>
      <c r="F93" s="24" t="s">
        <v>55</v>
      </c>
      <c r="G93" s="36" t="s">
        <v>70</v>
      </c>
      <c r="H93" s="51" t="s">
        <v>431</v>
      </c>
      <c r="I93" s="51" t="s">
        <v>511</v>
      </c>
      <c r="J93" s="26">
        <v>45.175921299999999</v>
      </c>
      <c r="K93" s="26">
        <v>-113.89577300000001</v>
      </c>
      <c r="L93" s="51" t="s">
        <v>512</v>
      </c>
      <c r="M93" s="28">
        <v>3295</v>
      </c>
      <c r="N93" s="144" t="b">
        <v>1</v>
      </c>
      <c r="O93" s="51" t="s">
        <v>580</v>
      </c>
      <c r="P93" s="30" t="s">
        <v>581</v>
      </c>
      <c r="Q93" s="58" t="s">
        <v>606</v>
      </c>
      <c r="R93" s="51" t="s">
        <v>63</v>
      </c>
      <c r="S93" s="114" t="s">
        <v>607</v>
      </c>
      <c r="T93" s="26"/>
      <c r="U93" s="51"/>
      <c r="V93" s="146" t="b">
        <v>0</v>
      </c>
      <c r="W93" s="68"/>
      <c r="X93" s="26"/>
      <c r="Y93" s="148" t="b">
        <v>0</v>
      </c>
      <c r="Z93" s="148" t="b">
        <v>1</v>
      </c>
      <c r="AA93" s="32" t="s">
        <v>65</v>
      </c>
      <c r="AB93" s="26"/>
      <c r="AC93" s="24" t="s">
        <v>601</v>
      </c>
      <c r="AD93" s="35">
        <v>2024</v>
      </c>
      <c r="AE93" s="35" t="s">
        <v>158</v>
      </c>
      <c r="AF93" s="35">
        <v>20</v>
      </c>
      <c r="AG93" s="35" t="s">
        <v>193</v>
      </c>
      <c r="AH93" s="147" t="b">
        <v>1</v>
      </c>
      <c r="AI93" s="35" t="s">
        <v>66</v>
      </c>
      <c r="AJ93" s="35" t="s">
        <v>115</v>
      </c>
      <c r="AK93" s="62">
        <v>2018</v>
      </c>
      <c r="AL93" s="148" t="b">
        <v>0</v>
      </c>
      <c r="AM93" s="35"/>
      <c r="AN93" s="35"/>
      <c r="AO93" s="148" t="b">
        <v>0</v>
      </c>
      <c r="AP93" s="35"/>
      <c r="AQ93" s="32"/>
    </row>
    <row r="94" spans="1:43" ht="15.75" customHeight="1">
      <c r="A94" s="54" t="s">
        <v>576</v>
      </c>
      <c r="B94" s="41" t="s">
        <v>455</v>
      </c>
      <c r="C94" s="39" t="s">
        <v>140</v>
      </c>
      <c r="D94" s="41" t="s">
        <v>608</v>
      </c>
      <c r="E94" s="24" t="s">
        <v>93</v>
      </c>
      <c r="F94" s="24" t="s">
        <v>55</v>
      </c>
      <c r="G94" s="40" t="s">
        <v>56</v>
      </c>
      <c r="H94" s="41" t="s">
        <v>609</v>
      </c>
      <c r="I94" s="41" t="s">
        <v>455</v>
      </c>
      <c r="J94" s="38">
        <v>37.546080500000002</v>
      </c>
      <c r="K94" s="38">
        <v>-90.287262600000005</v>
      </c>
      <c r="L94" s="38" t="s">
        <v>610</v>
      </c>
      <c r="M94" s="42">
        <v>262</v>
      </c>
      <c r="N94" s="144" t="b">
        <v>1</v>
      </c>
      <c r="O94" s="38" t="s">
        <v>611</v>
      </c>
      <c r="P94" s="40" t="s">
        <v>65</v>
      </c>
      <c r="Q94" s="38" t="s">
        <v>612</v>
      </c>
      <c r="R94" s="41" t="s">
        <v>88</v>
      </c>
      <c r="S94" s="64" t="s">
        <v>613</v>
      </c>
      <c r="T94" s="38"/>
      <c r="U94" s="41"/>
      <c r="V94" s="147" t="b">
        <v>1</v>
      </c>
      <c r="W94" s="56">
        <v>2.5</v>
      </c>
      <c r="X94" s="48"/>
      <c r="Y94" s="149" t="b">
        <v>1</v>
      </c>
      <c r="Z94" s="144" t="b">
        <v>1</v>
      </c>
      <c r="AA94" s="46" t="s">
        <v>65</v>
      </c>
      <c r="AB94" s="38">
        <v>2</v>
      </c>
      <c r="AC94" s="24" t="s">
        <v>614</v>
      </c>
      <c r="AD94" s="49">
        <v>2024</v>
      </c>
      <c r="AE94" s="49" t="s">
        <v>192</v>
      </c>
      <c r="AF94" s="49">
        <f>400+100.8</f>
        <v>500.8</v>
      </c>
      <c r="AG94" s="49" t="s">
        <v>126</v>
      </c>
      <c r="AH94" s="145" t="b">
        <v>0</v>
      </c>
      <c r="AI94" s="49" t="s">
        <v>160</v>
      </c>
      <c r="AJ94" s="49" t="s">
        <v>65</v>
      </c>
      <c r="AK94" s="57">
        <v>2018</v>
      </c>
      <c r="AL94" s="144" t="b">
        <v>1</v>
      </c>
      <c r="AM94" s="49"/>
      <c r="AN94" s="49"/>
      <c r="AO94" s="149" t="b">
        <v>0</v>
      </c>
      <c r="AP94" s="49"/>
      <c r="AQ94" s="46"/>
    </row>
    <row r="95" spans="1:43" ht="15.75" customHeight="1">
      <c r="A95" s="50" t="s">
        <v>576</v>
      </c>
      <c r="B95" s="51" t="s">
        <v>615</v>
      </c>
      <c r="C95" s="52" t="s">
        <v>69</v>
      </c>
      <c r="D95" s="51" t="s">
        <v>341</v>
      </c>
      <c r="E95" s="24" t="s">
        <v>93</v>
      </c>
      <c r="F95" s="24" t="s">
        <v>80</v>
      </c>
      <c r="G95" s="36" t="s">
        <v>70</v>
      </c>
      <c r="H95" s="51" t="s">
        <v>431</v>
      </c>
      <c r="I95" s="51" t="s">
        <v>511</v>
      </c>
      <c r="J95" s="26">
        <v>45.175921299999999</v>
      </c>
      <c r="K95" s="26">
        <v>-113.89577300000001</v>
      </c>
      <c r="L95" s="51" t="s">
        <v>512</v>
      </c>
      <c r="M95" s="28">
        <v>3295</v>
      </c>
      <c r="N95" s="144" t="b">
        <v>1</v>
      </c>
      <c r="O95" s="58" t="s">
        <v>580</v>
      </c>
      <c r="P95" s="30" t="s">
        <v>581</v>
      </c>
      <c r="Q95" s="58" t="s">
        <v>582</v>
      </c>
      <c r="R95" s="51" t="s">
        <v>86</v>
      </c>
      <c r="S95" s="31" t="s">
        <v>616</v>
      </c>
      <c r="T95" s="26"/>
      <c r="U95" s="51"/>
      <c r="V95" s="147" t="b">
        <v>1</v>
      </c>
      <c r="W95" s="33"/>
      <c r="X95" s="34"/>
      <c r="Y95" s="148" t="b">
        <v>0</v>
      </c>
      <c r="Z95" s="148" t="b">
        <v>0</v>
      </c>
      <c r="AA95" s="32" t="s">
        <v>65</v>
      </c>
      <c r="AB95" s="26"/>
      <c r="AC95" s="26"/>
      <c r="AD95" s="35"/>
      <c r="AE95" s="35"/>
      <c r="AF95" s="35"/>
      <c r="AG95" s="35"/>
      <c r="AH95" s="146" t="b">
        <v>0</v>
      </c>
      <c r="AI95" s="29" t="s">
        <v>66</v>
      </c>
      <c r="AJ95" s="35" t="s">
        <v>115</v>
      </c>
      <c r="AK95" s="62">
        <v>2021</v>
      </c>
      <c r="AL95" s="148" t="b">
        <v>0</v>
      </c>
      <c r="AM95" s="35"/>
      <c r="AN95" s="35"/>
      <c r="AO95" s="148" t="b">
        <v>0</v>
      </c>
      <c r="AP95" s="35"/>
      <c r="AQ95" s="32"/>
    </row>
    <row r="96" spans="1:43" ht="15.75" customHeight="1">
      <c r="A96" s="54" t="s">
        <v>617</v>
      </c>
      <c r="B96" s="41" t="s">
        <v>618</v>
      </c>
      <c r="C96" s="39" t="s">
        <v>53</v>
      </c>
      <c r="D96" s="38"/>
      <c r="E96" s="38" t="s">
        <v>54</v>
      </c>
      <c r="F96" s="24" t="s">
        <v>126</v>
      </c>
      <c r="G96" s="27" t="s">
        <v>56</v>
      </c>
      <c r="H96" s="41" t="s">
        <v>392</v>
      </c>
      <c r="I96" s="38" t="s">
        <v>619</v>
      </c>
      <c r="J96" s="38">
        <v>44.406401700000004</v>
      </c>
      <c r="K96" s="38">
        <v>-104.375895</v>
      </c>
      <c r="L96" s="38" t="s">
        <v>620</v>
      </c>
      <c r="M96" s="42">
        <v>1032</v>
      </c>
      <c r="N96" s="144" t="b">
        <v>1</v>
      </c>
      <c r="O96" s="41" t="s">
        <v>618</v>
      </c>
      <c r="P96" s="43" t="s">
        <v>65</v>
      </c>
      <c r="Q96" s="38" t="s">
        <v>621</v>
      </c>
      <c r="R96" s="41" t="s">
        <v>63</v>
      </c>
      <c r="S96" s="64" t="s">
        <v>622</v>
      </c>
      <c r="T96" s="38"/>
      <c r="U96" s="41"/>
      <c r="V96" s="145" t="b">
        <v>0</v>
      </c>
      <c r="W96" s="47"/>
      <c r="X96" s="48"/>
      <c r="Y96" s="144" t="b">
        <v>1</v>
      </c>
      <c r="Z96" s="149" t="b">
        <v>0</v>
      </c>
      <c r="AA96" s="46" t="s">
        <v>65</v>
      </c>
      <c r="AB96" s="38">
        <v>2</v>
      </c>
      <c r="AC96" s="24" t="s">
        <v>148</v>
      </c>
      <c r="AD96" s="49">
        <v>2024</v>
      </c>
      <c r="AE96" s="49" t="s">
        <v>158</v>
      </c>
      <c r="AF96" s="49">
        <v>46.2</v>
      </c>
      <c r="AG96" s="49" t="s">
        <v>623</v>
      </c>
      <c r="AH96" s="145" t="b">
        <v>0</v>
      </c>
      <c r="AI96" s="29" t="s">
        <v>101</v>
      </c>
      <c r="AJ96" s="49" t="s">
        <v>410</v>
      </c>
      <c r="AK96" s="46"/>
      <c r="AL96" s="149" t="b">
        <v>0</v>
      </c>
      <c r="AM96" s="49"/>
      <c r="AN96" s="49"/>
      <c r="AO96" s="149" t="b">
        <v>0</v>
      </c>
      <c r="AP96" s="49"/>
      <c r="AQ96" s="46"/>
    </row>
    <row r="97" spans="1:43" ht="15.75" customHeight="1">
      <c r="A97" s="50" t="s">
        <v>617</v>
      </c>
      <c r="B97" s="51" t="s">
        <v>624</v>
      </c>
      <c r="C97" s="52" t="s">
        <v>69</v>
      </c>
      <c r="D97" s="26" t="s">
        <v>625</v>
      </c>
      <c r="E97" s="26" t="s">
        <v>93</v>
      </c>
      <c r="F97" s="26" t="s">
        <v>55</v>
      </c>
      <c r="G97" s="27" t="s">
        <v>56</v>
      </c>
      <c r="H97" s="51" t="s">
        <v>626</v>
      </c>
      <c r="I97" s="26" t="s">
        <v>627</v>
      </c>
      <c r="J97" s="26">
        <v>44.794753700000001</v>
      </c>
      <c r="K97" s="26">
        <v>-106.8222688</v>
      </c>
      <c r="L97" s="26" t="s">
        <v>628</v>
      </c>
      <c r="M97" s="28">
        <v>18737</v>
      </c>
      <c r="N97" s="144" t="b">
        <v>1</v>
      </c>
      <c r="O97" s="51"/>
      <c r="P97" s="30"/>
      <c r="Q97" s="24" t="s">
        <v>629</v>
      </c>
      <c r="R97" s="51" t="s">
        <v>88</v>
      </c>
      <c r="S97" s="86" t="s">
        <v>630</v>
      </c>
      <c r="T97" s="26"/>
      <c r="U97" s="51"/>
      <c r="V97" s="147" t="b">
        <v>1</v>
      </c>
      <c r="W97" s="33"/>
      <c r="X97" s="34"/>
      <c r="Y97" s="148" t="b">
        <v>0</v>
      </c>
      <c r="Z97" s="148" t="b">
        <v>0</v>
      </c>
      <c r="AA97" s="32"/>
      <c r="AB97" s="26"/>
      <c r="AC97" s="26"/>
      <c r="AD97" s="35"/>
      <c r="AE97" s="35"/>
      <c r="AF97" s="35"/>
      <c r="AG97" s="35"/>
      <c r="AH97" s="146" t="b">
        <v>0</v>
      </c>
      <c r="AI97" s="29" t="s">
        <v>160</v>
      </c>
      <c r="AJ97" s="35" t="s">
        <v>65</v>
      </c>
      <c r="AK97" s="32"/>
      <c r="AL97" s="148" t="b">
        <v>0</v>
      </c>
      <c r="AM97" s="35"/>
      <c r="AN97" s="35"/>
      <c r="AO97" s="148" t="b">
        <v>0</v>
      </c>
      <c r="AP97" s="35"/>
      <c r="AQ97" s="32"/>
    </row>
    <row r="98" spans="1:43" ht="15.75" customHeight="1">
      <c r="A98" s="54" t="s">
        <v>617</v>
      </c>
      <c r="B98" s="58" t="s">
        <v>631</v>
      </c>
      <c r="C98" s="39" t="s">
        <v>53</v>
      </c>
      <c r="D98" s="24"/>
      <c r="E98" s="38" t="s">
        <v>54</v>
      </c>
      <c r="F98" s="24" t="s">
        <v>55</v>
      </c>
      <c r="G98" s="40" t="s">
        <v>70</v>
      </c>
      <c r="H98" s="41" t="s">
        <v>392</v>
      </c>
      <c r="I98" s="38" t="s">
        <v>632</v>
      </c>
      <c r="J98" s="38">
        <v>42.054423999999997</v>
      </c>
      <c r="K98" s="38">
        <v>-104.952726</v>
      </c>
      <c r="L98" s="38" t="s">
        <v>633</v>
      </c>
      <c r="M98" s="42">
        <v>3500</v>
      </c>
      <c r="N98" s="144" t="b">
        <v>1</v>
      </c>
      <c r="O98" s="41" t="s">
        <v>634</v>
      </c>
      <c r="P98" s="43" t="s">
        <v>65</v>
      </c>
      <c r="Q98" s="24" t="s">
        <v>635</v>
      </c>
      <c r="R98" s="41" t="s">
        <v>86</v>
      </c>
      <c r="S98" s="64" t="s">
        <v>636</v>
      </c>
      <c r="T98" s="38" t="s">
        <v>637</v>
      </c>
      <c r="U98" s="41" t="s">
        <v>86</v>
      </c>
      <c r="V98" s="145" t="b">
        <v>0</v>
      </c>
      <c r="W98" s="47">
        <v>1.7</v>
      </c>
      <c r="X98" s="48"/>
      <c r="Y98" s="149" t="b">
        <v>0</v>
      </c>
      <c r="Z98" s="149" t="b">
        <v>1</v>
      </c>
      <c r="AA98" s="46">
        <v>456</v>
      </c>
      <c r="AB98" s="38">
        <v>1</v>
      </c>
      <c r="AC98" s="24" t="s">
        <v>638</v>
      </c>
      <c r="AD98" s="49">
        <v>2024</v>
      </c>
      <c r="AE98" s="49" t="s">
        <v>192</v>
      </c>
      <c r="AF98" s="49">
        <v>456</v>
      </c>
      <c r="AG98" s="49" t="s">
        <v>639</v>
      </c>
      <c r="AH98" s="145" t="b">
        <v>0</v>
      </c>
      <c r="AI98" s="29" t="s">
        <v>101</v>
      </c>
      <c r="AJ98" s="49" t="s">
        <v>14</v>
      </c>
      <c r="AK98" s="46"/>
      <c r="AL98" s="149" t="b">
        <v>0</v>
      </c>
      <c r="AM98" s="49"/>
      <c r="AN98" s="49"/>
      <c r="AO98" s="149" t="b">
        <v>0</v>
      </c>
      <c r="AP98" s="49"/>
      <c r="AQ98" s="46"/>
    </row>
    <row r="99" spans="1:43" ht="15.75" customHeight="1">
      <c r="A99" s="50" t="s">
        <v>617</v>
      </c>
      <c r="B99" s="51" t="s">
        <v>640</v>
      </c>
      <c r="C99" s="52" t="s">
        <v>69</v>
      </c>
      <c r="D99" s="26"/>
      <c r="E99" s="26" t="s">
        <v>54</v>
      </c>
      <c r="F99" s="24" t="s">
        <v>55</v>
      </c>
      <c r="G99" s="36" t="s">
        <v>70</v>
      </c>
      <c r="H99" s="51" t="s">
        <v>431</v>
      </c>
      <c r="I99" s="26" t="s">
        <v>511</v>
      </c>
      <c r="J99" s="26">
        <v>45.175921299999999</v>
      </c>
      <c r="K99" s="26">
        <v>-113.89577300000001</v>
      </c>
      <c r="L99" s="26" t="s">
        <v>512</v>
      </c>
      <c r="M99" s="28">
        <v>3295</v>
      </c>
      <c r="N99" s="144" t="b">
        <v>1</v>
      </c>
      <c r="O99" s="51" t="s">
        <v>641</v>
      </c>
      <c r="P99" s="30" t="s">
        <v>65</v>
      </c>
      <c r="Q99" s="26" t="s">
        <v>642</v>
      </c>
      <c r="R99" s="51" t="s">
        <v>88</v>
      </c>
      <c r="S99" s="86" t="s">
        <v>643</v>
      </c>
      <c r="T99" s="26"/>
      <c r="U99" s="51"/>
      <c r="V99" s="146" t="b">
        <v>0</v>
      </c>
      <c r="W99" s="33"/>
      <c r="X99" s="34"/>
      <c r="Y99" s="148" t="b">
        <v>0</v>
      </c>
      <c r="Z99" s="148" t="b">
        <v>0</v>
      </c>
      <c r="AA99" s="32"/>
      <c r="AB99" s="26"/>
      <c r="AC99" s="26"/>
      <c r="AD99" s="35"/>
      <c r="AE99" s="35"/>
      <c r="AF99" s="35"/>
      <c r="AG99" s="35"/>
      <c r="AH99" s="146" t="b">
        <v>0</v>
      </c>
      <c r="AI99" s="29" t="s">
        <v>66</v>
      </c>
      <c r="AJ99" s="35" t="s">
        <v>115</v>
      </c>
      <c r="AK99" s="32"/>
      <c r="AL99" s="148" t="b">
        <v>0</v>
      </c>
      <c r="AM99" s="35"/>
      <c r="AN99" s="35"/>
      <c r="AO99" s="148" t="b">
        <v>0</v>
      </c>
      <c r="AP99" s="35"/>
      <c r="AQ99" s="32"/>
    </row>
    <row r="100" spans="1:43" ht="15.75" customHeight="1">
      <c r="A100" s="54" t="s">
        <v>617</v>
      </c>
      <c r="B100" s="41" t="s">
        <v>644</v>
      </c>
      <c r="C100" s="39" t="s">
        <v>53</v>
      </c>
      <c r="D100" s="38" t="s">
        <v>645</v>
      </c>
      <c r="E100" s="38" t="s">
        <v>54</v>
      </c>
      <c r="F100" s="24" t="s">
        <v>80</v>
      </c>
      <c r="G100" s="40" t="s">
        <v>70</v>
      </c>
      <c r="H100" s="41" t="s">
        <v>646</v>
      </c>
      <c r="I100" s="38" t="s">
        <v>647</v>
      </c>
      <c r="J100" s="38">
        <v>40.286110999999998</v>
      </c>
      <c r="K100" s="38">
        <v>-96.129451000000003</v>
      </c>
      <c r="L100" s="38" t="s">
        <v>648</v>
      </c>
      <c r="M100" s="42">
        <v>67</v>
      </c>
      <c r="N100" s="144" t="b">
        <v>1</v>
      </c>
      <c r="O100" s="41" t="s">
        <v>65</v>
      </c>
      <c r="P100" s="43" t="s">
        <v>65</v>
      </c>
      <c r="Q100" s="38" t="s">
        <v>649</v>
      </c>
      <c r="R100" s="41" t="s">
        <v>88</v>
      </c>
      <c r="S100" s="64" t="s">
        <v>650</v>
      </c>
      <c r="T100" s="38"/>
      <c r="U100" s="41"/>
      <c r="V100" s="145" t="b">
        <v>0</v>
      </c>
      <c r="W100" s="47"/>
      <c r="X100" s="48"/>
      <c r="Y100" s="149" t="b">
        <v>1</v>
      </c>
      <c r="Z100" s="149" t="b">
        <v>0</v>
      </c>
      <c r="AA100" s="46">
        <v>1140</v>
      </c>
      <c r="AB100" s="38">
        <v>1</v>
      </c>
      <c r="AC100" s="38" t="s">
        <v>638</v>
      </c>
      <c r="AD100" s="49">
        <v>2023</v>
      </c>
      <c r="AE100" s="49" t="s">
        <v>192</v>
      </c>
      <c r="AF100" s="49">
        <v>800</v>
      </c>
      <c r="AG100" s="49" t="s">
        <v>651</v>
      </c>
      <c r="AH100" s="145" t="b">
        <v>0</v>
      </c>
      <c r="AI100" s="29" t="s">
        <v>160</v>
      </c>
      <c r="AJ100" s="115" t="s">
        <v>65</v>
      </c>
      <c r="AK100" s="46"/>
      <c r="AL100" s="149" t="b">
        <v>0</v>
      </c>
      <c r="AM100" s="49"/>
      <c r="AN100" s="49"/>
      <c r="AO100" s="149" t="b">
        <v>0</v>
      </c>
      <c r="AP100" s="49"/>
      <c r="AQ100" s="46"/>
    </row>
    <row r="101" spans="1:43" ht="15.75" customHeight="1">
      <c r="A101" s="50" t="s">
        <v>617</v>
      </c>
      <c r="B101" s="51" t="s">
        <v>652</v>
      </c>
      <c r="C101" s="52" t="s">
        <v>343</v>
      </c>
      <c r="D101" s="26"/>
      <c r="E101" s="26" t="s">
        <v>54</v>
      </c>
      <c r="F101" s="24" t="s">
        <v>55</v>
      </c>
      <c r="G101" s="36" t="s">
        <v>70</v>
      </c>
      <c r="H101" s="51" t="s">
        <v>71</v>
      </c>
      <c r="I101" s="26" t="s">
        <v>652</v>
      </c>
      <c r="J101" s="26">
        <v>33.907663599999999</v>
      </c>
      <c r="K101" s="26">
        <v>-113.98525770000001</v>
      </c>
      <c r="L101" s="26" t="s">
        <v>653</v>
      </c>
      <c r="M101" s="28">
        <v>707</v>
      </c>
      <c r="N101" s="144" t="b">
        <v>1</v>
      </c>
      <c r="O101" s="51" t="s">
        <v>654</v>
      </c>
      <c r="P101" s="30" t="s">
        <v>65</v>
      </c>
      <c r="Q101" s="26" t="s">
        <v>655</v>
      </c>
      <c r="R101" s="51" t="s">
        <v>86</v>
      </c>
      <c r="S101" s="31" t="s">
        <v>656</v>
      </c>
      <c r="T101" s="26" t="s">
        <v>637</v>
      </c>
      <c r="U101" s="51" t="s">
        <v>86</v>
      </c>
      <c r="V101" s="146" t="b">
        <v>0</v>
      </c>
      <c r="W101" s="33"/>
      <c r="X101" s="34"/>
      <c r="Y101" s="148" t="b">
        <v>0</v>
      </c>
      <c r="Z101" s="144" t="b">
        <v>1</v>
      </c>
      <c r="AA101" s="32" t="s">
        <v>65</v>
      </c>
      <c r="AB101" s="26">
        <v>1</v>
      </c>
      <c r="AC101" s="24" t="s">
        <v>601</v>
      </c>
      <c r="AD101" s="35"/>
      <c r="AE101" s="35"/>
      <c r="AF101" s="35"/>
      <c r="AG101" s="35"/>
      <c r="AH101" s="146" t="b">
        <v>0</v>
      </c>
      <c r="AI101" s="29" t="s">
        <v>66</v>
      </c>
      <c r="AJ101" s="35" t="s">
        <v>78</v>
      </c>
      <c r="AK101" s="32"/>
      <c r="AL101" s="148" t="b">
        <v>0</v>
      </c>
      <c r="AM101" s="35"/>
      <c r="AN101" s="35"/>
      <c r="AO101" s="148" t="b">
        <v>0</v>
      </c>
      <c r="AP101" s="35"/>
      <c r="AQ101" s="32"/>
    </row>
    <row r="102" spans="1:43" ht="15.75" customHeight="1">
      <c r="A102" s="37" t="s">
        <v>617</v>
      </c>
      <c r="B102" s="38" t="s">
        <v>657</v>
      </c>
      <c r="C102" s="39" t="s">
        <v>343</v>
      </c>
      <c r="D102" s="38"/>
      <c r="E102" s="38" t="s">
        <v>54</v>
      </c>
      <c r="F102" s="24" t="s">
        <v>288</v>
      </c>
      <c r="G102" s="40" t="s">
        <v>70</v>
      </c>
      <c r="H102" s="38" t="s">
        <v>141</v>
      </c>
      <c r="I102" s="38" t="s">
        <v>186</v>
      </c>
      <c r="J102" s="38">
        <v>35.275458399999998</v>
      </c>
      <c r="K102" s="38">
        <v>-116.0694294</v>
      </c>
      <c r="L102" s="38" t="s">
        <v>658</v>
      </c>
      <c r="M102" s="42">
        <v>442</v>
      </c>
      <c r="N102" s="144" t="b">
        <v>1</v>
      </c>
      <c r="O102" s="38" t="s">
        <v>657</v>
      </c>
      <c r="P102" s="40" t="s">
        <v>65</v>
      </c>
      <c r="Q102" s="24" t="s">
        <v>659</v>
      </c>
      <c r="R102" s="38" t="s">
        <v>88</v>
      </c>
      <c r="S102" s="109" t="s">
        <v>660</v>
      </c>
      <c r="T102" s="38" t="s">
        <v>659</v>
      </c>
      <c r="U102" s="38" t="s">
        <v>88</v>
      </c>
      <c r="V102" s="147" t="b">
        <v>1</v>
      </c>
      <c r="W102" s="68">
        <v>42</v>
      </c>
      <c r="X102" s="48">
        <v>32</v>
      </c>
      <c r="Y102" s="144" t="b">
        <v>1</v>
      </c>
      <c r="Z102" s="149" t="b">
        <v>1</v>
      </c>
      <c r="AA102" s="46" t="s">
        <v>65</v>
      </c>
      <c r="AB102" s="38">
        <v>4</v>
      </c>
      <c r="AC102" s="24" t="s">
        <v>601</v>
      </c>
      <c r="AD102" s="49" t="s">
        <v>661</v>
      </c>
      <c r="AE102" s="49" t="s">
        <v>158</v>
      </c>
      <c r="AF102" s="49">
        <f>20+35+45+288</f>
        <v>388</v>
      </c>
      <c r="AG102" s="49" t="s">
        <v>662</v>
      </c>
      <c r="AH102" s="147" t="b">
        <v>1</v>
      </c>
      <c r="AI102" s="49" t="s">
        <v>160</v>
      </c>
      <c r="AJ102" s="115" t="s">
        <v>65</v>
      </c>
      <c r="AK102" s="46">
        <v>2017</v>
      </c>
      <c r="AL102" s="149" t="b">
        <v>0</v>
      </c>
      <c r="AM102" s="49"/>
      <c r="AN102" s="49"/>
      <c r="AO102" s="149" t="b">
        <v>0</v>
      </c>
      <c r="AP102" s="49"/>
      <c r="AQ102" s="46"/>
    </row>
    <row r="103" spans="1:43" ht="15.75" customHeight="1">
      <c r="A103" s="50" t="s">
        <v>617</v>
      </c>
      <c r="B103" s="51" t="s">
        <v>663</v>
      </c>
      <c r="C103" s="52" t="s">
        <v>343</v>
      </c>
      <c r="D103" s="26" t="s">
        <v>664</v>
      </c>
      <c r="E103" s="24" t="s">
        <v>93</v>
      </c>
      <c r="F103" s="24" t="s">
        <v>126</v>
      </c>
      <c r="G103" s="27" t="s">
        <v>56</v>
      </c>
      <c r="H103" s="51" t="s">
        <v>609</v>
      </c>
      <c r="I103" s="26" t="s">
        <v>665</v>
      </c>
      <c r="J103" s="26">
        <v>38.238938900000001</v>
      </c>
      <c r="K103" s="26">
        <v>-91.068752200000006</v>
      </c>
      <c r="L103" s="26" t="s">
        <v>666</v>
      </c>
      <c r="M103" s="28">
        <v>120</v>
      </c>
      <c r="N103" s="144" t="b">
        <v>1</v>
      </c>
      <c r="O103" s="26" t="s">
        <v>667</v>
      </c>
      <c r="P103" s="30" t="s">
        <v>65</v>
      </c>
      <c r="Q103" s="26" t="s">
        <v>668</v>
      </c>
      <c r="R103" s="51" t="s">
        <v>88</v>
      </c>
      <c r="S103" s="26" t="s">
        <v>515</v>
      </c>
      <c r="T103" s="26"/>
      <c r="U103" s="51"/>
      <c r="V103" s="146" t="b">
        <v>0</v>
      </c>
      <c r="W103" s="33"/>
      <c r="X103" s="34"/>
      <c r="Y103" s="148" t="b">
        <v>0</v>
      </c>
      <c r="Z103" s="144" t="b">
        <v>1</v>
      </c>
      <c r="AA103" s="32" t="s">
        <v>65</v>
      </c>
      <c r="AB103" s="26">
        <v>1</v>
      </c>
      <c r="AC103" s="26" t="s">
        <v>669</v>
      </c>
      <c r="AD103" s="35">
        <v>2024</v>
      </c>
      <c r="AE103" s="35" t="s">
        <v>670</v>
      </c>
      <c r="AF103" s="35">
        <v>60</v>
      </c>
      <c r="AG103" s="35" t="s">
        <v>671</v>
      </c>
      <c r="AH103" s="146" t="b">
        <v>0</v>
      </c>
      <c r="AI103" s="35" t="s">
        <v>160</v>
      </c>
      <c r="AJ103" s="35" t="s">
        <v>65</v>
      </c>
      <c r="AK103" s="32"/>
      <c r="AL103" s="148" t="b">
        <v>0</v>
      </c>
      <c r="AM103" s="35"/>
      <c r="AN103" s="35"/>
      <c r="AO103" s="148" t="b">
        <v>0</v>
      </c>
      <c r="AP103" s="35"/>
      <c r="AQ103" s="32"/>
    </row>
    <row r="104" spans="1:43" ht="15.75" customHeight="1">
      <c r="A104" s="54" t="s">
        <v>617</v>
      </c>
      <c r="B104" s="41" t="s">
        <v>672</v>
      </c>
      <c r="C104" s="39" t="s">
        <v>53</v>
      </c>
      <c r="D104" s="38"/>
      <c r="E104" s="24" t="s">
        <v>54</v>
      </c>
      <c r="F104" s="24" t="s">
        <v>55</v>
      </c>
      <c r="G104" s="40" t="s">
        <v>70</v>
      </c>
      <c r="H104" s="41" t="s">
        <v>373</v>
      </c>
      <c r="I104" s="38" t="s">
        <v>673</v>
      </c>
      <c r="J104" s="38">
        <v>46.022658999999997</v>
      </c>
      <c r="K104" s="38">
        <v>-114.178093</v>
      </c>
      <c r="L104" s="38" t="s">
        <v>674</v>
      </c>
      <c r="M104" s="42">
        <v>780</v>
      </c>
      <c r="N104" s="144" t="b">
        <v>1</v>
      </c>
      <c r="O104" s="41" t="s">
        <v>675</v>
      </c>
      <c r="P104" s="43" t="s">
        <v>65</v>
      </c>
      <c r="Q104" s="38" t="s">
        <v>676</v>
      </c>
      <c r="R104" s="41" t="s">
        <v>88</v>
      </c>
      <c r="S104" s="64" t="s">
        <v>677</v>
      </c>
      <c r="T104" s="38"/>
      <c r="U104" s="41"/>
      <c r="V104" s="147" t="b">
        <v>1</v>
      </c>
      <c r="W104" s="47"/>
      <c r="X104" s="48"/>
      <c r="Y104" s="149" t="b">
        <v>0</v>
      </c>
      <c r="Z104" s="149" t="b">
        <v>0</v>
      </c>
      <c r="AA104" s="46" t="s">
        <v>65</v>
      </c>
      <c r="AB104" s="38"/>
      <c r="AC104" s="24"/>
      <c r="AD104" s="49"/>
      <c r="AE104" s="49"/>
      <c r="AF104" s="49"/>
      <c r="AG104" s="49"/>
      <c r="AH104" s="145" t="b">
        <v>0</v>
      </c>
      <c r="AI104" s="29" t="s">
        <v>66</v>
      </c>
      <c r="AJ104" s="49" t="s">
        <v>115</v>
      </c>
      <c r="AK104" s="46"/>
      <c r="AL104" s="149" t="b">
        <v>0</v>
      </c>
      <c r="AM104" s="49"/>
      <c r="AN104" s="49"/>
      <c r="AO104" s="149" t="b">
        <v>0</v>
      </c>
      <c r="AP104" s="49"/>
      <c r="AQ104" s="46"/>
    </row>
    <row r="105" spans="1:43" ht="15.75" customHeight="1">
      <c r="A105" s="50" t="s">
        <v>678</v>
      </c>
      <c r="B105" s="51" t="s">
        <v>679</v>
      </c>
      <c r="C105" s="52" t="s">
        <v>343</v>
      </c>
      <c r="D105" s="51" t="s">
        <v>341</v>
      </c>
      <c r="E105" s="26" t="s">
        <v>287</v>
      </c>
      <c r="F105" s="24" t="s">
        <v>536</v>
      </c>
      <c r="G105" s="27" t="s">
        <v>56</v>
      </c>
      <c r="H105" s="51" t="s">
        <v>414</v>
      </c>
      <c r="I105" s="26" t="s">
        <v>680</v>
      </c>
      <c r="J105" s="26">
        <v>46.815756999999998</v>
      </c>
      <c r="K105" s="26">
        <v>-87.728464000000002</v>
      </c>
      <c r="L105" s="26" t="s">
        <v>681</v>
      </c>
      <c r="M105" s="28">
        <v>257</v>
      </c>
      <c r="N105" s="144" t="b">
        <v>1</v>
      </c>
      <c r="O105" s="26" t="s">
        <v>682</v>
      </c>
      <c r="P105" s="30" t="s">
        <v>65</v>
      </c>
      <c r="Q105" s="26" t="s">
        <v>683</v>
      </c>
      <c r="R105" s="51" t="s">
        <v>88</v>
      </c>
      <c r="S105" s="31" t="s">
        <v>684</v>
      </c>
      <c r="T105" s="26" t="s">
        <v>683</v>
      </c>
      <c r="U105" s="51" t="s">
        <v>63</v>
      </c>
      <c r="V105" s="147" t="b">
        <v>1</v>
      </c>
      <c r="W105" s="61">
        <v>17</v>
      </c>
      <c r="X105" s="85">
        <v>6</v>
      </c>
      <c r="Y105" s="144" t="b">
        <v>1</v>
      </c>
      <c r="Z105" s="148" t="b">
        <v>1</v>
      </c>
      <c r="AA105" s="32" t="s">
        <v>65</v>
      </c>
      <c r="AB105" s="26">
        <v>1</v>
      </c>
      <c r="AC105" s="24" t="s">
        <v>601</v>
      </c>
      <c r="AD105" s="35">
        <v>2023</v>
      </c>
      <c r="AE105" s="35" t="s">
        <v>158</v>
      </c>
      <c r="AF105" s="35">
        <v>20</v>
      </c>
      <c r="AG105" s="35" t="s">
        <v>685</v>
      </c>
      <c r="AH105" s="146" t="b">
        <v>0</v>
      </c>
      <c r="AI105" s="35" t="s">
        <v>160</v>
      </c>
      <c r="AJ105" s="35" t="s">
        <v>65</v>
      </c>
      <c r="AK105" s="32"/>
      <c r="AL105" s="144" t="b">
        <v>1</v>
      </c>
      <c r="AM105" s="35">
        <v>2</v>
      </c>
      <c r="AN105" s="35" t="s">
        <v>14</v>
      </c>
      <c r="AO105" s="148" t="b">
        <v>1</v>
      </c>
      <c r="AP105" s="35" t="s">
        <v>350</v>
      </c>
      <c r="AQ105" s="116" t="s">
        <v>686</v>
      </c>
    </row>
    <row r="106" spans="1:43" ht="15.75" customHeight="1">
      <c r="A106" s="37" t="s">
        <v>678</v>
      </c>
      <c r="B106" s="38" t="s">
        <v>687</v>
      </c>
      <c r="C106" s="39" t="s">
        <v>53</v>
      </c>
      <c r="D106" s="38" t="s">
        <v>688</v>
      </c>
      <c r="E106" s="24" t="s">
        <v>93</v>
      </c>
      <c r="F106" s="24" t="s">
        <v>55</v>
      </c>
      <c r="G106" s="40" t="s">
        <v>70</v>
      </c>
      <c r="H106" s="41" t="s">
        <v>558</v>
      </c>
      <c r="I106" s="38" t="s">
        <v>559</v>
      </c>
      <c r="J106" s="38">
        <v>47.708714299999997</v>
      </c>
      <c r="K106" s="38">
        <v>-91.944087100000004</v>
      </c>
      <c r="L106" s="41" t="s">
        <v>689</v>
      </c>
      <c r="M106" s="42">
        <v>1383</v>
      </c>
      <c r="N106" s="144" t="b">
        <v>1</v>
      </c>
      <c r="O106" s="38" t="s">
        <v>65</v>
      </c>
      <c r="P106" s="40" t="s">
        <v>690</v>
      </c>
      <c r="Q106" s="24" t="s">
        <v>691</v>
      </c>
      <c r="R106" s="38" t="s">
        <v>692</v>
      </c>
      <c r="S106" s="104" t="s">
        <v>693</v>
      </c>
      <c r="T106" s="38" t="s">
        <v>694</v>
      </c>
      <c r="U106" s="38" t="s">
        <v>63</v>
      </c>
      <c r="V106" s="145" t="b">
        <v>1</v>
      </c>
      <c r="W106" s="47">
        <v>11023.1</v>
      </c>
      <c r="X106" s="48">
        <v>20</v>
      </c>
      <c r="Y106" s="149" t="b">
        <v>0</v>
      </c>
      <c r="Z106" s="149" t="b">
        <v>0</v>
      </c>
      <c r="AA106" s="90">
        <v>1000</v>
      </c>
      <c r="AB106" s="38"/>
      <c r="AC106" s="38"/>
      <c r="AD106" s="49"/>
      <c r="AE106" s="49"/>
      <c r="AF106" s="49"/>
      <c r="AG106" s="49"/>
      <c r="AH106" s="145" t="b">
        <v>0</v>
      </c>
      <c r="AI106" s="49" t="s">
        <v>160</v>
      </c>
      <c r="AJ106" s="49" t="s">
        <v>65</v>
      </c>
      <c r="AK106" s="46"/>
      <c r="AL106" s="144" t="b">
        <v>0</v>
      </c>
      <c r="AM106" s="49"/>
      <c r="AN106" s="49"/>
      <c r="AO106" s="149" t="b">
        <v>0</v>
      </c>
      <c r="AP106" s="49"/>
      <c r="AQ106" s="46"/>
    </row>
    <row r="107" spans="1:43" ht="15.75" customHeight="1">
      <c r="A107" s="23" t="s">
        <v>678</v>
      </c>
      <c r="B107" s="26" t="s">
        <v>695</v>
      </c>
      <c r="C107" s="52" t="s">
        <v>69</v>
      </c>
      <c r="E107" s="24" t="s">
        <v>93</v>
      </c>
      <c r="F107" s="24" t="s">
        <v>126</v>
      </c>
      <c r="G107" s="36" t="s">
        <v>70</v>
      </c>
      <c r="H107" s="26" t="s">
        <v>414</v>
      </c>
      <c r="I107" s="26" t="s">
        <v>680</v>
      </c>
      <c r="J107" s="26">
        <v>46.815756999999998</v>
      </c>
      <c r="K107" s="26">
        <v>-87.728464000000002</v>
      </c>
      <c r="L107" s="26" t="s">
        <v>681</v>
      </c>
      <c r="M107" s="28">
        <v>257</v>
      </c>
      <c r="N107" s="144" t="b">
        <v>1</v>
      </c>
      <c r="O107" s="26" t="s">
        <v>682</v>
      </c>
      <c r="P107" s="36" t="s">
        <v>65</v>
      </c>
      <c r="Q107" s="26" t="s">
        <v>696</v>
      </c>
      <c r="R107" s="26" t="s">
        <v>697</v>
      </c>
      <c r="S107" s="31" t="s">
        <v>698</v>
      </c>
      <c r="T107" s="24" t="s">
        <v>699</v>
      </c>
      <c r="U107" s="26" t="s">
        <v>76</v>
      </c>
      <c r="V107" s="147" t="b">
        <v>1</v>
      </c>
      <c r="W107" s="33"/>
      <c r="X107" s="34">
        <v>21.8</v>
      </c>
      <c r="Y107" s="144" t="b">
        <v>1</v>
      </c>
      <c r="Z107" s="148" t="b">
        <v>0</v>
      </c>
      <c r="AA107" s="32" t="s">
        <v>65</v>
      </c>
      <c r="AB107" s="26">
        <v>3</v>
      </c>
      <c r="AC107" s="24" t="s">
        <v>211</v>
      </c>
      <c r="AD107" s="35" t="s">
        <v>700</v>
      </c>
      <c r="AE107" s="35" t="s">
        <v>158</v>
      </c>
      <c r="AF107" s="35">
        <f>114+20.4+22.6</f>
        <v>157</v>
      </c>
      <c r="AG107" s="35"/>
      <c r="AH107" s="146" t="b">
        <v>0</v>
      </c>
      <c r="AI107" s="29" t="s">
        <v>101</v>
      </c>
      <c r="AJ107" s="35" t="s">
        <v>14</v>
      </c>
      <c r="AK107" s="32"/>
      <c r="AL107" s="148" t="b">
        <v>0</v>
      </c>
      <c r="AM107" s="35"/>
      <c r="AN107" s="35"/>
      <c r="AO107" s="148" t="b">
        <v>0</v>
      </c>
      <c r="AP107" s="35"/>
      <c r="AQ107" s="32"/>
    </row>
    <row r="108" spans="1:43" ht="15.75" customHeight="1">
      <c r="A108" s="54" t="s">
        <v>678</v>
      </c>
      <c r="B108" s="41" t="s">
        <v>701</v>
      </c>
      <c r="C108" s="39" t="s">
        <v>53</v>
      </c>
      <c r="D108" s="38" t="s">
        <v>702</v>
      </c>
      <c r="E108" s="38" t="s">
        <v>54</v>
      </c>
      <c r="F108" s="24" t="s">
        <v>55</v>
      </c>
      <c r="G108" s="40" t="s">
        <v>70</v>
      </c>
      <c r="H108" s="41" t="s">
        <v>345</v>
      </c>
      <c r="I108" s="38" t="s">
        <v>703</v>
      </c>
      <c r="J108" s="38">
        <v>63.008439500000001</v>
      </c>
      <c r="K108" s="38">
        <v>-145.75095970000001</v>
      </c>
      <c r="L108" s="41" t="s">
        <v>704</v>
      </c>
      <c r="M108" s="42">
        <v>26</v>
      </c>
      <c r="N108" s="144" t="b">
        <v>1</v>
      </c>
      <c r="O108" s="117" t="s">
        <v>705</v>
      </c>
      <c r="P108" s="40" t="s">
        <v>65</v>
      </c>
      <c r="Q108" s="24" t="s">
        <v>706</v>
      </c>
      <c r="R108" s="38" t="s">
        <v>63</v>
      </c>
      <c r="S108" s="118" t="s">
        <v>707</v>
      </c>
      <c r="T108" s="38"/>
      <c r="U108" s="38"/>
      <c r="V108" s="147" t="b">
        <v>1</v>
      </c>
      <c r="W108" s="47"/>
      <c r="X108" s="48"/>
      <c r="Y108" s="149" t="b">
        <v>0</v>
      </c>
      <c r="Z108" s="149" t="b">
        <v>0</v>
      </c>
      <c r="AA108" s="46" t="s">
        <v>65</v>
      </c>
      <c r="AB108" s="38"/>
      <c r="AC108" s="38"/>
      <c r="AD108" s="49"/>
      <c r="AE108" s="49"/>
      <c r="AF108" s="49"/>
      <c r="AG108" s="49" t="s">
        <v>708</v>
      </c>
      <c r="AH108" s="145" t="b">
        <v>0</v>
      </c>
      <c r="AI108" s="29" t="s">
        <v>66</v>
      </c>
      <c r="AJ108" s="49" t="s">
        <v>14</v>
      </c>
      <c r="AK108" s="46"/>
      <c r="AL108" s="149" t="b">
        <v>0</v>
      </c>
      <c r="AM108" s="49"/>
      <c r="AN108" s="49"/>
      <c r="AO108" s="149" t="b">
        <v>0</v>
      </c>
      <c r="AP108" s="49"/>
      <c r="AQ108" s="46"/>
    </row>
    <row r="109" spans="1:43" ht="15.75" customHeight="1">
      <c r="A109" s="50" t="s">
        <v>678</v>
      </c>
      <c r="B109" s="51" t="s">
        <v>709</v>
      </c>
      <c r="C109" s="52" t="s">
        <v>53</v>
      </c>
      <c r="D109" s="26" t="s">
        <v>341</v>
      </c>
      <c r="E109" s="26" t="s">
        <v>93</v>
      </c>
      <c r="F109" s="24" t="s">
        <v>80</v>
      </c>
      <c r="G109" s="27" t="s">
        <v>56</v>
      </c>
      <c r="H109" s="51" t="s">
        <v>558</v>
      </c>
      <c r="I109" s="26" t="s">
        <v>559</v>
      </c>
      <c r="J109" s="26">
        <v>47.708714299999997</v>
      </c>
      <c r="K109" s="26">
        <v>-91.944087100000004</v>
      </c>
      <c r="L109" s="51" t="s">
        <v>689</v>
      </c>
      <c r="M109" s="28">
        <v>1397</v>
      </c>
      <c r="N109" s="144" t="b">
        <v>1</v>
      </c>
      <c r="O109" s="51" t="s">
        <v>65</v>
      </c>
      <c r="P109" s="36" t="s">
        <v>561</v>
      </c>
      <c r="Q109" s="26" t="s">
        <v>691</v>
      </c>
      <c r="R109" s="26" t="s">
        <v>710</v>
      </c>
      <c r="S109" s="93" t="s">
        <v>693</v>
      </c>
      <c r="T109" s="26" t="s">
        <v>694</v>
      </c>
      <c r="U109" s="26" t="s">
        <v>63</v>
      </c>
      <c r="V109" s="147" t="b">
        <v>1</v>
      </c>
      <c r="W109" s="33">
        <v>4</v>
      </c>
      <c r="X109" s="34">
        <v>20</v>
      </c>
      <c r="Y109" s="148" t="b">
        <v>0</v>
      </c>
      <c r="Z109" s="148" t="b">
        <v>0</v>
      </c>
      <c r="AA109" s="32">
        <v>1000</v>
      </c>
      <c r="AB109" s="26"/>
      <c r="AC109" s="26"/>
      <c r="AD109" s="35"/>
      <c r="AE109" s="35"/>
      <c r="AF109" s="35"/>
      <c r="AG109" s="35"/>
      <c r="AH109" s="146" t="b">
        <v>0</v>
      </c>
      <c r="AI109" s="35" t="s">
        <v>101</v>
      </c>
      <c r="AJ109" s="29" t="s">
        <v>410</v>
      </c>
      <c r="AK109" s="32"/>
      <c r="AL109" s="144" t="b">
        <v>1</v>
      </c>
      <c r="AM109" s="35">
        <v>2</v>
      </c>
      <c r="AN109" s="35" t="s">
        <v>14</v>
      </c>
      <c r="AO109" s="148" t="b">
        <v>1</v>
      </c>
      <c r="AP109" s="35" t="s">
        <v>711</v>
      </c>
      <c r="AQ109" s="53" t="s">
        <v>712</v>
      </c>
    </row>
    <row r="110" spans="1:43" ht="15.75" customHeight="1">
      <c r="A110" s="37" t="s">
        <v>678</v>
      </c>
      <c r="B110" s="38" t="s">
        <v>713</v>
      </c>
      <c r="C110" s="39" t="s">
        <v>69</v>
      </c>
      <c r="D110" s="38" t="s">
        <v>341</v>
      </c>
      <c r="E110" s="38" t="s">
        <v>54</v>
      </c>
      <c r="F110" s="38" t="s">
        <v>80</v>
      </c>
      <c r="G110" s="40" t="s">
        <v>70</v>
      </c>
      <c r="H110" s="38" t="s">
        <v>414</v>
      </c>
      <c r="I110" s="38" t="s">
        <v>680</v>
      </c>
      <c r="J110" s="38">
        <v>18.777887400000001</v>
      </c>
      <c r="K110" s="38">
        <v>100.773732</v>
      </c>
      <c r="L110" s="38" t="s">
        <v>714</v>
      </c>
      <c r="M110" s="42">
        <v>21079</v>
      </c>
      <c r="N110" s="144" t="b">
        <v>1</v>
      </c>
      <c r="O110" s="38" t="s">
        <v>65</v>
      </c>
      <c r="P110" s="40" t="s">
        <v>65</v>
      </c>
      <c r="Q110" s="38" t="s">
        <v>715</v>
      </c>
      <c r="R110" s="38" t="s">
        <v>63</v>
      </c>
      <c r="S110" s="119" t="s">
        <v>716</v>
      </c>
      <c r="T110" s="38"/>
      <c r="U110" s="38"/>
      <c r="V110" s="145" t="b">
        <v>0</v>
      </c>
      <c r="W110" s="47"/>
      <c r="X110" s="48"/>
      <c r="Y110" s="149" t="b">
        <v>0</v>
      </c>
      <c r="Z110" s="149" t="b">
        <v>0</v>
      </c>
      <c r="AA110" s="46"/>
      <c r="AB110" s="38"/>
      <c r="AC110" s="38"/>
      <c r="AD110" s="49"/>
      <c r="AE110" s="49"/>
      <c r="AF110" s="49"/>
      <c r="AG110" s="49"/>
      <c r="AH110" s="145" t="b">
        <v>0</v>
      </c>
      <c r="AI110" s="49"/>
      <c r="AJ110" s="49"/>
      <c r="AK110" s="46"/>
      <c r="AL110" s="149" t="b">
        <v>0</v>
      </c>
      <c r="AM110" s="49"/>
      <c r="AN110" s="49"/>
      <c r="AO110" s="149" t="b">
        <v>0</v>
      </c>
      <c r="AP110" s="49"/>
      <c r="AQ110" s="46"/>
    </row>
    <row r="111" spans="1:43" ht="15.75" customHeight="1">
      <c r="A111" s="23" t="s">
        <v>678</v>
      </c>
      <c r="B111" s="26" t="s">
        <v>717</v>
      </c>
      <c r="C111" s="52" t="s">
        <v>53</v>
      </c>
      <c r="D111" s="26" t="s">
        <v>688</v>
      </c>
      <c r="E111" s="26" t="s">
        <v>54</v>
      </c>
      <c r="F111" s="24" t="s">
        <v>126</v>
      </c>
      <c r="G111" s="27" t="s">
        <v>56</v>
      </c>
      <c r="H111" s="26" t="s">
        <v>558</v>
      </c>
      <c r="I111" s="26" t="s">
        <v>718</v>
      </c>
      <c r="J111" s="26">
        <v>46.644391499999998</v>
      </c>
      <c r="K111" s="26">
        <v>-93.127163499999995</v>
      </c>
      <c r="L111" s="26" t="s">
        <v>719</v>
      </c>
      <c r="M111" s="28">
        <v>57</v>
      </c>
      <c r="N111" s="144" t="b">
        <v>1</v>
      </c>
      <c r="O111" s="26" t="s">
        <v>65</v>
      </c>
      <c r="P111" s="36" t="s">
        <v>720</v>
      </c>
      <c r="Q111" s="24" t="s">
        <v>696</v>
      </c>
      <c r="R111" s="26" t="s">
        <v>697</v>
      </c>
      <c r="S111" s="31" t="s">
        <v>698</v>
      </c>
      <c r="T111" s="24" t="s">
        <v>699</v>
      </c>
      <c r="U111" s="26" t="s">
        <v>76</v>
      </c>
      <c r="V111" s="146" t="b">
        <v>0</v>
      </c>
      <c r="W111" s="33">
        <v>142</v>
      </c>
      <c r="X111" s="34">
        <v>9</v>
      </c>
      <c r="Y111" s="144" t="b">
        <v>1</v>
      </c>
      <c r="Z111" s="148" t="b">
        <v>1</v>
      </c>
      <c r="AA111" s="32">
        <v>395</v>
      </c>
      <c r="AB111" s="26">
        <v>2</v>
      </c>
      <c r="AC111" s="24" t="s">
        <v>211</v>
      </c>
      <c r="AD111" s="35" t="s">
        <v>721</v>
      </c>
      <c r="AE111" s="35" t="s">
        <v>158</v>
      </c>
      <c r="AF111" s="35">
        <f>114+20</f>
        <v>134</v>
      </c>
      <c r="AG111" s="35" t="s">
        <v>722</v>
      </c>
      <c r="AH111" s="147" t="b">
        <v>1</v>
      </c>
      <c r="AI111" s="29" t="s">
        <v>101</v>
      </c>
      <c r="AJ111" s="35" t="s">
        <v>14</v>
      </c>
      <c r="AK111" s="32"/>
      <c r="AL111" s="148" t="b">
        <v>0</v>
      </c>
      <c r="AM111" s="35"/>
      <c r="AN111" s="35"/>
      <c r="AO111" s="144" t="b">
        <v>0</v>
      </c>
      <c r="AP111" s="35"/>
      <c r="AQ111" s="32"/>
    </row>
    <row r="112" spans="1:43" ht="15.75" customHeight="1">
      <c r="A112" s="54" t="s">
        <v>723</v>
      </c>
      <c r="B112" s="41" t="s">
        <v>724</v>
      </c>
      <c r="C112" s="39" t="s">
        <v>69</v>
      </c>
      <c r="D112" s="38"/>
      <c r="E112" s="38" t="s">
        <v>287</v>
      </c>
      <c r="F112" s="38" t="s">
        <v>55</v>
      </c>
      <c r="G112" s="40" t="s">
        <v>70</v>
      </c>
      <c r="H112" s="41" t="s">
        <v>725</v>
      </c>
      <c r="I112" s="41" t="s">
        <v>726</v>
      </c>
      <c r="J112" s="38">
        <v>18.777887400000001</v>
      </c>
      <c r="K112" s="38">
        <v>100.773732</v>
      </c>
      <c r="L112" s="41" t="s">
        <v>727</v>
      </c>
      <c r="M112" s="42">
        <v>12216</v>
      </c>
      <c r="N112" s="144" t="b">
        <v>1</v>
      </c>
      <c r="O112" s="41" t="s">
        <v>65</v>
      </c>
      <c r="P112" s="43" t="s">
        <v>65</v>
      </c>
      <c r="Q112" s="38" t="s">
        <v>728</v>
      </c>
      <c r="R112" s="41" t="s">
        <v>88</v>
      </c>
      <c r="S112" s="119" t="s">
        <v>729</v>
      </c>
      <c r="T112" s="38" t="s">
        <v>730</v>
      </c>
      <c r="U112" s="41" t="s">
        <v>88</v>
      </c>
      <c r="V112" s="147" t="b">
        <v>1</v>
      </c>
      <c r="W112" s="56"/>
      <c r="X112" s="87"/>
      <c r="Y112" s="144" t="b">
        <v>1</v>
      </c>
      <c r="Z112" s="149" t="b">
        <v>0</v>
      </c>
      <c r="AA112" s="46"/>
      <c r="AB112" s="38"/>
      <c r="AC112" s="38"/>
      <c r="AD112" s="49"/>
      <c r="AE112" s="49"/>
      <c r="AF112" s="49"/>
      <c r="AG112" s="49"/>
      <c r="AH112" s="145" t="b">
        <v>0</v>
      </c>
      <c r="AI112" s="49" t="s">
        <v>160</v>
      </c>
      <c r="AJ112" s="49"/>
      <c r="AK112" s="46">
        <v>2018</v>
      </c>
      <c r="AL112" s="149" t="b">
        <v>0</v>
      </c>
      <c r="AM112" s="49"/>
      <c r="AN112" s="49"/>
      <c r="AO112" s="149" t="b">
        <v>0</v>
      </c>
      <c r="AP112" s="49"/>
      <c r="AQ112" s="46"/>
    </row>
    <row r="113" spans="1:43" ht="15.75" customHeight="1">
      <c r="A113" s="50" t="s">
        <v>723</v>
      </c>
      <c r="B113" s="58" t="s">
        <v>731</v>
      </c>
      <c r="C113" s="52" t="s">
        <v>53</v>
      </c>
      <c r="D113" s="26"/>
      <c r="E113" s="26" t="s">
        <v>93</v>
      </c>
      <c r="F113" s="24" t="s">
        <v>55</v>
      </c>
      <c r="G113" s="36" t="s">
        <v>70</v>
      </c>
      <c r="H113" s="51" t="s">
        <v>725</v>
      </c>
      <c r="I113" s="51" t="s">
        <v>732</v>
      </c>
      <c r="J113" s="26">
        <v>32.944012000000001</v>
      </c>
      <c r="K113" s="26">
        <v>-85.953853199999998</v>
      </c>
      <c r="L113" s="51" t="s">
        <v>733</v>
      </c>
      <c r="M113" s="28">
        <v>18843</v>
      </c>
      <c r="N113" s="144" t="b">
        <v>1</v>
      </c>
      <c r="O113" s="51" t="s">
        <v>65</v>
      </c>
      <c r="P113" s="30" t="s">
        <v>734</v>
      </c>
      <c r="Q113" s="26" t="s">
        <v>735</v>
      </c>
      <c r="R113" s="51" t="s">
        <v>63</v>
      </c>
      <c r="S113" s="31" t="s">
        <v>736</v>
      </c>
      <c r="T113" s="26"/>
      <c r="U113" s="51"/>
      <c r="V113" s="147" t="b">
        <v>1</v>
      </c>
      <c r="W113" s="92">
        <v>27.6</v>
      </c>
      <c r="X113" s="85"/>
      <c r="Y113" s="148" t="b">
        <v>1</v>
      </c>
      <c r="Z113" s="148" t="b">
        <v>0</v>
      </c>
      <c r="AA113" s="32" t="s">
        <v>65</v>
      </c>
      <c r="AB113" s="26">
        <v>1</v>
      </c>
      <c r="AC113" s="24" t="s">
        <v>601</v>
      </c>
      <c r="AD113" s="35">
        <v>2023</v>
      </c>
      <c r="AE113" s="35" t="s">
        <v>158</v>
      </c>
      <c r="AF113" s="35">
        <v>3.2</v>
      </c>
      <c r="AG113" s="35" t="s">
        <v>737</v>
      </c>
      <c r="AH113" s="146" t="b">
        <v>0</v>
      </c>
      <c r="AI113" s="35" t="s">
        <v>160</v>
      </c>
      <c r="AJ113" s="35" t="s">
        <v>65</v>
      </c>
      <c r="AK113" s="32"/>
      <c r="AL113" s="148" t="b">
        <v>0</v>
      </c>
      <c r="AM113" s="35"/>
      <c r="AN113" s="35"/>
      <c r="AO113" s="148" t="b">
        <v>0</v>
      </c>
      <c r="AP113" s="35"/>
      <c r="AQ113" s="32"/>
    </row>
    <row r="114" spans="1:43" ht="15.75" customHeight="1">
      <c r="A114" s="54" t="s">
        <v>723</v>
      </c>
      <c r="B114" s="41" t="s">
        <v>732</v>
      </c>
      <c r="C114" s="39" t="s">
        <v>53</v>
      </c>
      <c r="D114" s="38"/>
      <c r="E114" s="38" t="s">
        <v>54</v>
      </c>
      <c r="F114" s="24" t="s">
        <v>126</v>
      </c>
      <c r="G114" s="40" t="s">
        <v>70</v>
      </c>
      <c r="H114" s="41" t="s">
        <v>725</v>
      </c>
      <c r="I114" s="41" t="s">
        <v>732</v>
      </c>
      <c r="J114" s="38">
        <v>33.170482</v>
      </c>
      <c r="K114" s="38">
        <v>-86.251409899999999</v>
      </c>
      <c r="L114" s="41" t="s">
        <v>727</v>
      </c>
      <c r="M114" s="42">
        <v>12578</v>
      </c>
      <c r="N114" s="144" t="b">
        <v>1</v>
      </c>
      <c r="O114" s="41" t="s">
        <v>65</v>
      </c>
      <c r="P114" s="43" t="s">
        <v>734</v>
      </c>
      <c r="Q114" s="38" t="s">
        <v>738</v>
      </c>
      <c r="R114" s="41" t="s">
        <v>63</v>
      </c>
      <c r="S114" s="64" t="s">
        <v>739</v>
      </c>
      <c r="T114" s="38" t="s">
        <v>740</v>
      </c>
      <c r="U114" s="41" t="s">
        <v>88</v>
      </c>
      <c r="V114" s="145" t="b">
        <v>0</v>
      </c>
      <c r="W114" s="56">
        <v>52</v>
      </c>
      <c r="X114" s="87">
        <v>19</v>
      </c>
      <c r="Y114" s="144" t="b">
        <v>1</v>
      </c>
      <c r="Z114" s="149" t="b">
        <v>1</v>
      </c>
      <c r="AA114" s="46">
        <v>336</v>
      </c>
      <c r="AB114" s="38">
        <v>1</v>
      </c>
      <c r="AC114" s="24" t="s">
        <v>601</v>
      </c>
      <c r="AD114" s="49"/>
      <c r="AE114" s="49"/>
      <c r="AF114" s="49">
        <v>3.2</v>
      </c>
      <c r="AG114" s="49" t="s">
        <v>737</v>
      </c>
      <c r="AH114" s="145" t="b">
        <v>0</v>
      </c>
      <c r="AI114" s="49" t="s">
        <v>160</v>
      </c>
      <c r="AJ114" s="49" t="s">
        <v>65</v>
      </c>
      <c r="AK114" s="57">
        <v>2012</v>
      </c>
      <c r="AL114" s="149" t="b">
        <v>0</v>
      </c>
      <c r="AM114" s="49"/>
      <c r="AN114" s="49"/>
      <c r="AO114" s="149" t="b">
        <v>0</v>
      </c>
      <c r="AP114" s="49"/>
      <c r="AQ114" s="46"/>
    </row>
    <row r="115" spans="1:43" ht="15.75" customHeight="1">
      <c r="A115" s="50" t="s">
        <v>723</v>
      </c>
      <c r="B115" s="51" t="s">
        <v>741</v>
      </c>
      <c r="C115" s="52" t="s">
        <v>53</v>
      </c>
      <c r="D115" s="26"/>
      <c r="E115" s="26" t="s">
        <v>54</v>
      </c>
      <c r="F115" s="24" t="s">
        <v>55</v>
      </c>
      <c r="G115" s="27" t="s">
        <v>56</v>
      </c>
      <c r="H115" s="51" t="s">
        <v>345</v>
      </c>
      <c r="I115" s="26" t="s">
        <v>742</v>
      </c>
      <c r="J115" s="26">
        <v>64.497509800000003</v>
      </c>
      <c r="K115" s="26">
        <v>-165.4061701</v>
      </c>
      <c r="L115" s="51" t="s">
        <v>743</v>
      </c>
      <c r="M115" s="28">
        <v>3699</v>
      </c>
      <c r="N115" s="144" t="b">
        <v>1</v>
      </c>
      <c r="O115" s="51" t="s">
        <v>744</v>
      </c>
      <c r="P115" s="30" t="s">
        <v>65</v>
      </c>
      <c r="Q115" s="26" t="s">
        <v>745</v>
      </c>
      <c r="R115" s="51" t="s">
        <v>63</v>
      </c>
      <c r="S115" s="31" t="s">
        <v>746</v>
      </c>
      <c r="T115" s="26"/>
      <c r="U115" s="26"/>
      <c r="V115" s="146" t="b">
        <v>0</v>
      </c>
      <c r="W115" s="61">
        <v>17000</v>
      </c>
      <c r="X115" s="85">
        <v>22</v>
      </c>
      <c r="Y115" s="144" t="b">
        <v>1</v>
      </c>
      <c r="Z115" s="148" t="b">
        <v>1</v>
      </c>
      <c r="AA115" s="32">
        <v>363</v>
      </c>
      <c r="AB115" s="26">
        <v>1</v>
      </c>
      <c r="AC115" s="24" t="s">
        <v>601</v>
      </c>
      <c r="AD115" s="35">
        <v>2023</v>
      </c>
      <c r="AE115" s="35" t="s">
        <v>158</v>
      </c>
      <c r="AF115" s="35">
        <v>37.5</v>
      </c>
      <c r="AG115" s="35" t="s">
        <v>737</v>
      </c>
      <c r="AH115" s="146" t="b">
        <v>0</v>
      </c>
      <c r="AI115" s="35" t="s">
        <v>66</v>
      </c>
      <c r="AJ115" s="35" t="s">
        <v>14</v>
      </c>
      <c r="AK115" s="32"/>
      <c r="AL115" s="148" t="b">
        <v>0</v>
      </c>
      <c r="AM115" s="35"/>
      <c r="AN115" s="26"/>
      <c r="AO115" s="148" t="b">
        <v>0</v>
      </c>
      <c r="AP115" s="26"/>
      <c r="AQ115" s="36"/>
    </row>
    <row r="116" spans="1:43" ht="15.75" customHeight="1">
      <c r="A116" s="54" t="s">
        <v>747</v>
      </c>
      <c r="B116" s="41" t="s">
        <v>748</v>
      </c>
      <c r="C116" s="39" t="s">
        <v>53</v>
      </c>
      <c r="D116" s="38" t="s">
        <v>576</v>
      </c>
      <c r="E116" s="24" t="s">
        <v>93</v>
      </c>
      <c r="F116" s="24" t="s">
        <v>55</v>
      </c>
      <c r="G116" s="40" t="s">
        <v>70</v>
      </c>
      <c r="H116" s="41" t="s">
        <v>558</v>
      </c>
      <c r="I116" s="41" t="s">
        <v>749</v>
      </c>
      <c r="J116" s="38">
        <v>46.516906200000001</v>
      </c>
      <c r="K116" s="38">
        <v>-93.923036600000003</v>
      </c>
      <c r="L116" s="38" t="s">
        <v>750</v>
      </c>
      <c r="M116" s="42">
        <v>296</v>
      </c>
      <c r="N116" s="144" t="b">
        <v>1</v>
      </c>
      <c r="O116" s="41" t="s">
        <v>720</v>
      </c>
      <c r="P116" s="43" t="s">
        <v>562</v>
      </c>
      <c r="Q116" s="38" t="s">
        <v>751</v>
      </c>
      <c r="R116" s="41" t="s">
        <v>63</v>
      </c>
      <c r="S116" s="64" t="s">
        <v>752</v>
      </c>
      <c r="T116" s="41" t="s">
        <v>753</v>
      </c>
      <c r="U116" s="41" t="s">
        <v>88</v>
      </c>
      <c r="V116" s="147" t="b">
        <v>1</v>
      </c>
      <c r="W116" s="47"/>
      <c r="X116" s="48"/>
      <c r="Y116" s="144" t="b">
        <v>1</v>
      </c>
      <c r="Z116" s="149" t="b">
        <v>1</v>
      </c>
      <c r="AA116" s="46" t="s">
        <v>65</v>
      </c>
      <c r="AB116" s="38"/>
      <c r="AC116" s="38"/>
      <c r="AD116" s="49"/>
      <c r="AE116" s="49"/>
      <c r="AF116" s="49"/>
      <c r="AG116" s="49"/>
      <c r="AH116" s="145" t="b">
        <v>0</v>
      </c>
      <c r="AI116" s="49" t="s">
        <v>160</v>
      </c>
      <c r="AJ116" s="49" t="s">
        <v>65</v>
      </c>
      <c r="AK116" s="46"/>
      <c r="AL116" s="149" t="b">
        <v>0</v>
      </c>
      <c r="AM116" s="49"/>
      <c r="AN116" s="49"/>
      <c r="AO116" s="149" t="b">
        <v>0</v>
      </c>
      <c r="AP116" s="49"/>
      <c r="AQ116" s="46"/>
    </row>
    <row r="117" spans="1:43" ht="16.5" customHeight="1">
      <c r="A117" s="50" t="s">
        <v>747</v>
      </c>
      <c r="B117" s="51" t="s">
        <v>754</v>
      </c>
      <c r="C117" s="52" t="s">
        <v>343</v>
      </c>
      <c r="D117" s="26" t="s">
        <v>755</v>
      </c>
      <c r="E117" s="26" t="s">
        <v>93</v>
      </c>
      <c r="F117" s="24" t="s">
        <v>126</v>
      </c>
      <c r="G117" s="27" t="s">
        <v>56</v>
      </c>
      <c r="H117" s="51" t="s">
        <v>71</v>
      </c>
      <c r="I117" s="51" t="s">
        <v>423</v>
      </c>
      <c r="J117" s="26">
        <v>31.3402134</v>
      </c>
      <c r="K117" s="26">
        <v>-110.936081</v>
      </c>
      <c r="L117" s="26" t="s">
        <v>756</v>
      </c>
      <c r="M117" s="28">
        <v>19770</v>
      </c>
      <c r="N117" s="144" t="b">
        <v>1</v>
      </c>
      <c r="O117" s="51" t="s">
        <v>425</v>
      </c>
      <c r="P117" s="30" t="s">
        <v>65</v>
      </c>
      <c r="Q117" s="26" t="s">
        <v>757</v>
      </c>
      <c r="R117" s="51" t="s">
        <v>86</v>
      </c>
      <c r="S117" s="31" t="s">
        <v>758</v>
      </c>
      <c r="T117" s="51" t="s">
        <v>759</v>
      </c>
      <c r="U117" s="51" t="s">
        <v>86</v>
      </c>
      <c r="V117" s="147" t="b">
        <v>1</v>
      </c>
      <c r="W117" s="120">
        <v>226</v>
      </c>
      <c r="X117" s="101">
        <v>30</v>
      </c>
      <c r="Y117" s="148" t="b">
        <v>1</v>
      </c>
      <c r="Z117" s="148" t="b">
        <v>1</v>
      </c>
      <c r="AA117" s="32">
        <v>1700</v>
      </c>
      <c r="AB117" s="26">
        <v>2</v>
      </c>
      <c r="AC117" s="24" t="s">
        <v>211</v>
      </c>
      <c r="AD117" s="35">
        <v>2024</v>
      </c>
      <c r="AE117" s="35" t="s">
        <v>158</v>
      </c>
      <c r="AF117" s="35">
        <v>136</v>
      </c>
      <c r="AG117" s="35" t="s">
        <v>760</v>
      </c>
      <c r="AH117" s="146" t="b">
        <v>0</v>
      </c>
      <c r="AI117" s="29" t="s">
        <v>160</v>
      </c>
      <c r="AJ117" s="35" t="s">
        <v>65</v>
      </c>
      <c r="AK117" s="62">
        <v>2018</v>
      </c>
      <c r="AL117" s="144" t="b">
        <v>1</v>
      </c>
      <c r="AM117" s="35"/>
      <c r="AN117" s="35" t="s">
        <v>44</v>
      </c>
      <c r="AO117" s="148" t="b">
        <v>1</v>
      </c>
      <c r="AP117" s="35" t="s">
        <v>314</v>
      </c>
      <c r="AQ117" s="121" t="s">
        <v>761</v>
      </c>
    </row>
    <row r="118" spans="1:43" ht="15.75" customHeight="1">
      <c r="A118" s="122"/>
      <c r="B118" s="122"/>
      <c r="C118" s="122"/>
      <c r="D118" s="122"/>
      <c r="E118" s="122"/>
      <c r="F118" s="122"/>
      <c r="G118" s="122"/>
      <c r="H118" s="122"/>
      <c r="I118" s="122"/>
      <c r="J118" s="122"/>
      <c r="K118" s="122"/>
      <c r="L118" s="122"/>
      <c r="M118" s="123"/>
      <c r="N118" s="123"/>
      <c r="O118" s="122"/>
      <c r="P118" s="124"/>
      <c r="Q118" s="122"/>
      <c r="R118" s="122"/>
      <c r="S118" s="122"/>
      <c r="T118" s="122"/>
      <c r="U118" s="122"/>
      <c r="V118" s="124"/>
      <c r="W118" s="125"/>
      <c r="X118" s="122"/>
      <c r="Y118" s="122"/>
      <c r="Z118" s="122"/>
      <c r="AA118" s="126"/>
      <c r="AB118" s="122"/>
      <c r="AC118" s="122"/>
      <c r="AD118" s="127"/>
      <c r="AE118" s="127"/>
      <c r="AF118" s="127"/>
      <c r="AG118" s="127"/>
      <c r="AH118" s="124"/>
      <c r="AI118" s="127"/>
      <c r="AJ118" s="127"/>
      <c r="AK118" s="126"/>
      <c r="AL118" s="122"/>
      <c r="AM118" s="122"/>
      <c r="AN118" s="122"/>
      <c r="AO118" s="122"/>
      <c r="AP118" s="122"/>
      <c r="AQ118" s="124"/>
    </row>
    <row r="119" spans="1:43" ht="15.75" customHeight="1">
      <c r="A119" s="122"/>
      <c r="B119" s="122"/>
      <c r="C119" s="122"/>
      <c r="D119" s="122"/>
      <c r="E119" s="122"/>
      <c r="F119" s="122"/>
      <c r="G119" s="122"/>
      <c r="H119" s="122"/>
      <c r="I119" s="122"/>
      <c r="J119" s="122"/>
      <c r="K119" s="122"/>
      <c r="L119" s="122"/>
      <c r="M119" s="123"/>
      <c r="N119" s="123"/>
      <c r="O119" s="122"/>
      <c r="P119" s="124"/>
      <c r="Q119" s="122"/>
      <c r="R119" s="122"/>
      <c r="S119" s="122"/>
      <c r="T119" s="122"/>
      <c r="U119" s="122"/>
      <c r="V119" s="124"/>
      <c r="W119" s="125"/>
      <c r="X119" s="122"/>
      <c r="Y119" s="122"/>
      <c r="Z119" s="122"/>
      <c r="AA119" s="126"/>
      <c r="AB119" s="122"/>
      <c r="AC119" s="122"/>
      <c r="AD119" s="127"/>
      <c r="AE119" s="127"/>
      <c r="AF119" s="127"/>
      <c r="AG119" s="127"/>
      <c r="AH119" s="124"/>
      <c r="AI119" s="127"/>
      <c r="AJ119" s="127"/>
      <c r="AK119" s="126"/>
      <c r="AL119" s="122"/>
      <c r="AM119" s="122"/>
      <c r="AN119" s="122"/>
      <c r="AO119" s="122"/>
      <c r="AP119" s="122"/>
      <c r="AQ119" s="124"/>
    </row>
    <row r="120" spans="1:43" ht="15.75" customHeight="1">
      <c r="A120" s="122"/>
      <c r="B120" s="122"/>
      <c r="C120" s="122"/>
      <c r="D120" s="122"/>
      <c r="E120" s="122"/>
      <c r="F120" s="122"/>
      <c r="G120" s="122"/>
      <c r="H120" s="122"/>
      <c r="I120" s="122"/>
      <c r="J120" s="122"/>
      <c r="K120" s="122"/>
      <c r="L120" s="122"/>
      <c r="M120" s="123"/>
      <c r="N120" s="123"/>
      <c r="O120" s="122"/>
      <c r="P120" s="124"/>
      <c r="Q120" s="122"/>
      <c r="R120" s="122"/>
      <c r="S120" s="122"/>
      <c r="T120" s="122"/>
      <c r="U120" s="122"/>
      <c r="V120" s="124"/>
      <c r="W120" s="125"/>
      <c r="X120" s="122"/>
      <c r="Y120" s="122"/>
      <c r="Z120" s="122"/>
      <c r="AA120" s="126"/>
      <c r="AB120" s="122"/>
      <c r="AC120" s="122"/>
      <c r="AD120" s="127"/>
      <c r="AE120" s="127"/>
      <c r="AF120" s="127"/>
      <c r="AG120" s="127"/>
      <c r="AH120" s="124"/>
      <c r="AI120" s="127"/>
      <c r="AJ120" s="127"/>
      <c r="AK120" s="126"/>
      <c r="AL120" s="122"/>
      <c r="AM120" s="122"/>
      <c r="AN120" s="122"/>
      <c r="AO120" s="122"/>
      <c r="AP120" s="122"/>
      <c r="AQ120" s="124"/>
    </row>
    <row r="121" spans="1:43" ht="15.75" customHeight="1">
      <c r="A121" s="122"/>
      <c r="B121" s="122"/>
      <c r="C121" s="122"/>
      <c r="D121" s="122"/>
      <c r="E121" s="122"/>
      <c r="F121" s="122"/>
      <c r="G121" s="122"/>
      <c r="H121" s="122"/>
      <c r="I121" s="122"/>
      <c r="J121" s="122"/>
      <c r="K121" s="122"/>
      <c r="L121" s="122"/>
      <c r="M121" s="123"/>
      <c r="N121" s="123"/>
      <c r="O121" s="122"/>
      <c r="P121" s="124"/>
      <c r="Q121" s="122"/>
      <c r="R121" s="122"/>
      <c r="S121" s="122"/>
      <c r="T121" s="122"/>
      <c r="U121" s="122"/>
      <c r="V121" s="124"/>
      <c r="W121" s="125"/>
      <c r="X121" s="122"/>
      <c r="Y121" s="122"/>
      <c r="Z121" s="122"/>
      <c r="AA121" s="126"/>
      <c r="AB121" s="122"/>
      <c r="AC121" s="122"/>
      <c r="AD121" s="127"/>
      <c r="AE121" s="127"/>
      <c r="AF121" s="127"/>
      <c r="AG121" s="127"/>
      <c r="AH121" s="124"/>
      <c r="AI121" s="127"/>
      <c r="AJ121" s="127"/>
      <c r="AK121" s="126"/>
      <c r="AL121" s="122"/>
      <c r="AM121" s="122"/>
      <c r="AN121" s="122"/>
      <c r="AO121" s="122"/>
      <c r="AP121" s="122"/>
      <c r="AQ121" s="124"/>
    </row>
    <row r="122" spans="1:43" ht="15.75" customHeight="1">
      <c r="A122" s="122"/>
      <c r="B122" s="122"/>
      <c r="C122" s="122"/>
      <c r="D122" s="122"/>
      <c r="E122" s="122"/>
      <c r="F122" s="122"/>
      <c r="G122" s="122"/>
      <c r="H122" s="122"/>
      <c r="I122" s="122"/>
      <c r="J122" s="122"/>
      <c r="K122" s="122"/>
      <c r="L122" s="122"/>
      <c r="M122" s="123"/>
      <c r="N122" s="123"/>
      <c r="O122" s="122"/>
      <c r="P122" s="124"/>
      <c r="Q122" s="122"/>
      <c r="R122" s="122"/>
      <c r="S122" s="122"/>
      <c r="T122" s="122"/>
      <c r="U122" s="122"/>
      <c r="V122" s="124"/>
      <c r="W122" s="125"/>
      <c r="X122" s="122"/>
      <c r="Y122" s="122"/>
      <c r="Z122" s="122"/>
      <c r="AA122" s="126"/>
      <c r="AB122" s="122"/>
      <c r="AC122" s="122"/>
      <c r="AD122" s="127"/>
      <c r="AE122" s="127"/>
      <c r="AF122" s="127"/>
      <c r="AG122" s="127"/>
      <c r="AH122" s="124"/>
      <c r="AI122" s="127"/>
      <c r="AJ122" s="127"/>
      <c r="AK122" s="126"/>
      <c r="AL122" s="122"/>
      <c r="AM122" s="122"/>
      <c r="AN122" s="122"/>
      <c r="AO122" s="122"/>
      <c r="AP122" s="122"/>
      <c r="AQ122" s="124"/>
    </row>
    <row r="123" spans="1:43" ht="15.75" customHeight="1">
      <c r="A123" s="122"/>
      <c r="B123" s="122"/>
      <c r="C123" s="122"/>
      <c r="D123" s="122"/>
      <c r="E123" s="122"/>
      <c r="F123" s="122"/>
      <c r="G123" s="122"/>
      <c r="H123" s="122"/>
      <c r="I123" s="122"/>
      <c r="J123" s="122"/>
      <c r="K123" s="122"/>
      <c r="L123" s="122"/>
      <c r="M123" s="123"/>
      <c r="N123" s="123"/>
      <c r="O123" s="122"/>
      <c r="P123" s="124"/>
      <c r="Q123" s="122"/>
      <c r="R123" s="122"/>
      <c r="S123" s="122"/>
      <c r="T123" s="122"/>
      <c r="U123" s="122"/>
      <c r="V123" s="124"/>
      <c r="W123" s="125"/>
      <c r="X123" s="122"/>
      <c r="Y123" s="122"/>
      <c r="Z123" s="122"/>
      <c r="AA123" s="126"/>
      <c r="AB123" s="122"/>
      <c r="AC123" s="122"/>
      <c r="AD123" s="127"/>
      <c r="AE123" s="127"/>
      <c r="AF123" s="127"/>
      <c r="AG123" s="127"/>
      <c r="AH123" s="124"/>
      <c r="AI123" s="127"/>
      <c r="AJ123" s="127"/>
      <c r="AK123" s="126"/>
      <c r="AL123" s="122"/>
      <c r="AM123" s="122"/>
      <c r="AN123" s="122"/>
      <c r="AO123" s="122"/>
      <c r="AP123" s="122"/>
      <c r="AQ123" s="124"/>
    </row>
    <row r="124" spans="1:43" ht="15.75" customHeight="1">
      <c r="A124" s="122"/>
      <c r="B124" s="122"/>
      <c r="C124" s="122"/>
      <c r="D124" s="122"/>
      <c r="E124" s="122"/>
      <c r="F124" s="122"/>
      <c r="G124" s="122"/>
      <c r="H124" s="122"/>
      <c r="I124" s="122"/>
      <c r="J124" s="122"/>
      <c r="K124" s="122"/>
      <c r="L124" s="122"/>
      <c r="M124" s="123"/>
      <c r="N124" s="123"/>
      <c r="O124" s="122"/>
      <c r="P124" s="124"/>
      <c r="Q124" s="122"/>
      <c r="R124" s="122"/>
      <c r="S124" s="122"/>
      <c r="T124" s="122"/>
      <c r="U124" s="122"/>
      <c r="V124" s="124"/>
      <c r="W124" s="125"/>
      <c r="X124" s="122"/>
      <c r="Y124" s="122"/>
      <c r="Z124" s="122"/>
      <c r="AA124" s="126"/>
      <c r="AB124" s="122"/>
      <c r="AC124" s="122"/>
      <c r="AD124" s="127"/>
      <c r="AE124" s="127"/>
      <c r="AF124" s="127"/>
      <c r="AG124" s="127"/>
      <c r="AH124" s="124"/>
      <c r="AI124" s="127"/>
      <c r="AJ124" s="127"/>
      <c r="AK124" s="126"/>
      <c r="AL124" s="122"/>
      <c r="AM124" s="122"/>
      <c r="AN124" s="122"/>
      <c r="AO124" s="122"/>
      <c r="AP124" s="122"/>
      <c r="AQ124" s="124"/>
    </row>
    <row r="125" spans="1:43" ht="15.75" customHeight="1">
      <c r="A125" s="122"/>
      <c r="B125" s="122"/>
      <c r="C125" s="122"/>
      <c r="D125" s="122"/>
      <c r="E125" s="122"/>
      <c r="F125" s="122"/>
      <c r="G125" s="122"/>
      <c r="H125" s="122"/>
      <c r="I125" s="122"/>
      <c r="J125" s="122"/>
      <c r="K125" s="122"/>
      <c r="L125" s="122"/>
      <c r="M125" s="123"/>
      <c r="N125" s="123"/>
      <c r="O125" s="122"/>
      <c r="P125" s="124"/>
      <c r="Q125" s="122"/>
      <c r="R125" s="122"/>
      <c r="S125" s="122"/>
      <c r="T125" s="122"/>
      <c r="U125" s="122"/>
      <c r="V125" s="124"/>
      <c r="W125" s="125"/>
      <c r="X125" s="122"/>
      <c r="Y125" s="122"/>
      <c r="Z125" s="122"/>
      <c r="AA125" s="126"/>
      <c r="AB125" s="122"/>
      <c r="AC125" s="122"/>
      <c r="AD125" s="127"/>
      <c r="AE125" s="127"/>
      <c r="AF125" s="127"/>
      <c r="AG125" s="127"/>
      <c r="AH125" s="124"/>
      <c r="AI125" s="127"/>
      <c r="AJ125" s="127"/>
      <c r="AK125" s="126"/>
      <c r="AL125" s="122"/>
      <c r="AM125" s="122"/>
      <c r="AN125" s="122"/>
      <c r="AO125" s="122"/>
      <c r="AP125" s="122"/>
      <c r="AQ125" s="124"/>
    </row>
    <row r="126" spans="1:43" ht="15.75" customHeight="1">
      <c r="A126" s="122"/>
      <c r="B126" s="122"/>
      <c r="C126" s="122"/>
      <c r="D126" s="122"/>
      <c r="E126" s="122"/>
      <c r="F126" s="122"/>
      <c r="G126" s="122"/>
      <c r="H126" s="122"/>
      <c r="I126" s="122"/>
      <c r="J126" s="122"/>
      <c r="K126" s="122"/>
      <c r="L126" s="122"/>
      <c r="M126" s="123"/>
      <c r="N126" s="123"/>
      <c r="O126" s="122"/>
      <c r="P126" s="124"/>
      <c r="Q126" s="122"/>
      <c r="R126" s="122"/>
      <c r="S126" s="122"/>
      <c r="T126" s="122"/>
      <c r="U126" s="122"/>
      <c r="V126" s="124"/>
      <c r="W126" s="125"/>
      <c r="X126" s="122"/>
      <c r="Y126" s="122"/>
      <c r="Z126" s="122"/>
      <c r="AA126" s="126"/>
      <c r="AB126" s="122"/>
      <c r="AC126" s="122"/>
      <c r="AD126" s="127"/>
      <c r="AE126" s="127"/>
      <c r="AF126" s="127"/>
      <c r="AG126" s="127"/>
      <c r="AH126" s="124"/>
      <c r="AI126" s="127"/>
      <c r="AJ126" s="127"/>
      <c r="AK126" s="126"/>
      <c r="AL126" s="122"/>
      <c r="AM126" s="122"/>
      <c r="AN126" s="122"/>
      <c r="AO126" s="122"/>
      <c r="AP126" s="122"/>
      <c r="AQ126" s="124"/>
    </row>
    <row r="127" spans="1:43" ht="15.75" customHeight="1">
      <c r="A127" s="122"/>
      <c r="B127" s="122"/>
      <c r="C127" s="122"/>
      <c r="D127" s="122"/>
      <c r="E127" s="122"/>
      <c r="F127" s="122"/>
      <c r="G127" s="122"/>
      <c r="H127" s="122"/>
      <c r="I127" s="122"/>
      <c r="J127" s="122"/>
      <c r="K127" s="122"/>
      <c r="L127" s="122"/>
      <c r="M127" s="123"/>
      <c r="N127" s="123"/>
      <c r="O127" s="122"/>
      <c r="P127" s="124"/>
      <c r="Q127" s="122"/>
      <c r="R127" s="122"/>
      <c r="S127" s="122"/>
      <c r="T127" s="122"/>
      <c r="U127" s="122"/>
      <c r="V127" s="124"/>
      <c r="W127" s="125"/>
      <c r="X127" s="122"/>
      <c r="Y127" s="122"/>
      <c r="Z127" s="122"/>
      <c r="AA127" s="126"/>
      <c r="AB127" s="122"/>
      <c r="AC127" s="122"/>
      <c r="AD127" s="127"/>
      <c r="AE127" s="127"/>
      <c r="AF127" s="127"/>
      <c r="AG127" s="127"/>
      <c r="AH127" s="124"/>
      <c r="AI127" s="127"/>
      <c r="AJ127" s="127"/>
      <c r="AK127" s="126"/>
      <c r="AL127" s="122"/>
      <c r="AM127" s="122"/>
      <c r="AN127" s="122"/>
      <c r="AO127" s="122"/>
      <c r="AP127" s="122"/>
      <c r="AQ127" s="124"/>
    </row>
    <row r="128" spans="1:43" ht="15.75" customHeight="1">
      <c r="A128" s="122"/>
      <c r="B128" s="122"/>
      <c r="C128" s="122"/>
      <c r="D128" s="122"/>
      <c r="E128" s="122"/>
      <c r="F128" s="122"/>
      <c r="G128" s="122"/>
      <c r="H128" s="122"/>
      <c r="I128" s="122"/>
      <c r="J128" s="122"/>
      <c r="K128" s="122"/>
      <c r="L128" s="122"/>
      <c r="M128" s="123"/>
      <c r="N128" s="123"/>
      <c r="O128" s="122"/>
      <c r="P128" s="124"/>
      <c r="Q128" s="122"/>
      <c r="R128" s="122"/>
      <c r="S128" s="122"/>
      <c r="T128" s="122"/>
      <c r="U128" s="122"/>
      <c r="V128" s="124"/>
      <c r="W128" s="125"/>
      <c r="X128" s="122"/>
      <c r="Y128" s="122"/>
      <c r="Z128" s="122"/>
      <c r="AA128" s="126"/>
      <c r="AB128" s="122"/>
      <c r="AC128" s="122"/>
      <c r="AD128" s="127"/>
      <c r="AE128" s="127"/>
      <c r="AF128" s="127"/>
      <c r="AG128" s="127"/>
      <c r="AH128" s="124"/>
      <c r="AI128" s="127"/>
      <c r="AJ128" s="127"/>
      <c r="AK128" s="126"/>
      <c r="AL128" s="122"/>
      <c r="AM128" s="122"/>
      <c r="AN128" s="122"/>
      <c r="AO128" s="122"/>
      <c r="AP128" s="122"/>
      <c r="AQ128" s="124"/>
    </row>
    <row r="129" spans="1:43" ht="15.75" customHeight="1">
      <c r="A129" s="122"/>
      <c r="B129" s="122"/>
      <c r="C129" s="122"/>
      <c r="D129" s="122"/>
      <c r="E129" s="122"/>
      <c r="F129" s="122"/>
      <c r="G129" s="122"/>
      <c r="H129" s="122"/>
      <c r="I129" s="122"/>
      <c r="J129" s="122"/>
      <c r="K129" s="122"/>
      <c r="L129" s="122"/>
      <c r="M129" s="123"/>
      <c r="N129" s="123"/>
      <c r="O129" s="122"/>
      <c r="P129" s="124"/>
      <c r="Q129" s="122"/>
      <c r="R129" s="122"/>
      <c r="S129" s="122"/>
      <c r="T129" s="122"/>
      <c r="U129" s="122"/>
      <c r="V129" s="124"/>
      <c r="W129" s="125"/>
      <c r="X129" s="122"/>
      <c r="Y129" s="122"/>
      <c r="Z129" s="122"/>
      <c r="AA129" s="126"/>
      <c r="AB129" s="122"/>
      <c r="AC129" s="122"/>
      <c r="AD129" s="127"/>
      <c r="AE129" s="127"/>
      <c r="AF129" s="127"/>
      <c r="AG129" s="127"/>
      <c r="AH129" s="124"/>
      <c r="AI129" s="127"/>
      <c r="AJ129" s="127"/>
      <c r="AK129" s="126"/>
      <c r="AL129" s="122"/>
      <c r="AM129" s="122"/>
      <c r="AN129" s="122"/>
      <c r="AO129" s="122"/>
      <c r="AP129" s="122"/>
      <c r="AQ129" s="124"/>
    </row>
    <row r="130" spans="1:43" ht="15.75" customHeight="1">
      <c r="A130" s="122"/>
      <c r="B130" s="122"/>
      <c r="C130" s="122"/>
      <c r="D130" s="122"/>
      <c r="E130" s="122"/>
      <c r="F130" s="122"/>
      <c r="G130" s="122"/>
      <c r="H130" s="122"/>
      <c r="I130" s="122"/>
      <c r="J130" s="122"/>
      <c r="K130" s="122"/>
      <c r="L130" s="122"/>
      <c r="M130" s="123"/>
      <c r="N130" s="123"/>
      <c r="O130" s="122"/>
      <c r="P130" s="124"/>
      <c r="Q130" s="122"/>
      <c r="R130" s="122"/>
      <c r="S130" s="122"/>
      <c r="T130" s="122"/>
      <c r="U130" s="122"/>
      <c r="V130" s="124"/>
      <c r="W130" s="125"/>
      <c r="X130" s="122"/>
      <c r="Y130" s="122"/>
      <c r="Z130" s="122"/>
      <c r="AA130" s="126"/>
      <c r="AB130" s="122"/>
      <c r="AC130" s="122"/>
      <c r="AD130" s="127"/>
      <c r="AE130" s="127"/>
      <c r="AF130" s="127"/>
      <c r="AG130" s="127"/>
      <c r="AH130" s="124"/>
      <c r="AI130" s="127"/>
      <c r="AJ130" s="127"/>
      <c r="AK130" s="126"/>
      <c r="AL130" s="122"/>
      <c r="AM130" s="122"/>
      <c r="AN130" s="122"/>
      <c r="AO130" s="122"/>
      <c r="AP130" s="122"/>
      <c r="AQ130" s="124"/>
    </row>
    <row r="131" spans="1:43" ht="15.75" customHeight="1">
      <c r="A131" s="122"/>
      <c r="B131" s="122"/>
      <c r="C131" s="122"/>
      <c r="D131" s="122"/>
      <c r="E131" s="122"/>
      <c r="F131" s="122"/>
      <c r="G131" s="122"/>
      <c r="H131" s="122"/>
      <c r="I131" s="122"/>
      <c r="J131" s="122"/>
      <c r="K131" s="122"/>
      <c r="L131" s="122"/>
      <c r="M131" s="123"/>
      <c r="N131" s="123"/>
      <c r="O131" s="122"/>
      <c r="P131" s="124"/>
      <c r="Q131" s="122"/>
      <c r="R131" s="122"/>
      <c r="S131" s="122"/>
      <c r="T131" s="122"/>
      <c r="U131" s="122"/>
      <c r="V131" s="124"/>
      <c r="W131" s="125"/>
      <c r="X131" s="122"/>
      <c r="Y131" s="122"/>
      <c r="Z131" s="122"/>
      <c r="AA131" s="126"/>
      <c r="AB131" s="122"/>
      <c r="AC131" s="122"/>
      <c r="AD131" s="127"/>
      <c r="AE131" s="127"/>
      <c r="AF131" s="127"/>
      <c r="AG131" s="127"/>
      <c r="AH131" s="124"/>
      <c r="AI131" s="127"/>
      <c r="AJ131" s="127"/>
      <c r="AK131" s="126"/>
      <c r="AL131" s="122"/>
      <c r="AM131" s="122"/>
      <c r="AN131" s="122"/>
      <c r="AO131" s="122"/>
      <c r="AP131" s="122"/>
      <c r="AQ131" s="124"/>
    </row>
    <row r="132" spans="1:43" ht="15.75" customHeight="1">
      <c r="A132" s="122"/>
      <c r="B132" s="122"/>
      <c r="C132" s="122"/>
      <c r="D132" s="122"/>
      <c r="E132" s="122"/>
      <c r="F132" s="122"/>
      <c r="G132" s="122"/>
      <c r="H132" s="122"/>
      <c r="I132" s="122"/>
      <c r="J132" s="122"/>
      <c r="K132" s="122"/>
      <c r="L132" s="122"/>
      <c r="M132" s="123"/>
      <c r="N132" s="123"/>
      <c r="O132" s="122"/>
      <c r="P132" s="124"/>
      <c r="Q132" s="122"/>
      <c r="R132" s="122"/>
      <c r="S132" s="122"/>
      <c r="T132" s="122"/>
      <c r="U132" s="122"/>
      <c r="V132" s="124"/>
      <c r="W132" s="125"/>
      <c r="X132" s="122"/>
      <c r="Y132" s="122"/>
      <c r="Z132" s="122"/>
      <c r="AA132" s="126"/>
      <c r="AB132" s="122"/>
      <c r="AC132" s="122"/>
      <c r="AD132" s="127"/>
      <c r="AE132" s="127"/>
      <c r="AF132" s="127"/>
      <c r="AG132" s="127"/>
      <c r="AH132" s="124"/>
      <c r="AI132" s="127"/>
      <c r="AJ132" s="127"/>
      <c r="AK132" s="126"/>
      <c r="AL132" s="122"/>
      <c r="AM132" s="122"/>
      <c r="AN132" s="122"/>
      <c r="AO132" s="122"/>
      <c r="AP132" s="122"/>
      <c r="AQ132" s="124"/>
    </row>
    <row r="133" spans="1:43" ht="15.75" customHeight="1">
      <c r="A133" s="122"/>
      <c r="B133" s="122"/>
      <c r="C133" s="122"/>
      <c r="D133" s="122"/>
      <c r="E133" s="122"/>
      <c r="F133" s="122"/>
      <c r="G133" s="122"/>
      <c r="H133" s="122"/>
      <c r="I133" s="122"/>
      <c r="J133" s="122"/>
      <c r="K133" s="122"/>
      <c r="L133" s="122"/>
      <c r="M133" s="123"/>
      <c r="N133" s="123"/>
      <c r="O133" s="122"/>
      <c r="P133" s="124"/>
      <c r="Q133" s="122"/>
      <c r="R133" s="122"/>
      <c r="S133" s="122"/>
      <c r="T133" s="122"/>
      <c r="U133" s="122"/>
      <c r="V133" s="124"/>
      <c r="W133" s="125"/>
      <c r="X133" s="122"/>
      <c r="Y133" s="122"/>
      <c r="Z133" s="122"/>
      <c r="AA133" s="126"/>
      <c r="AB133" s="122"/>
      <c r="AC133" s="122"/>
      <c r="AD133" s="127"/>
      <c r="AE133" s="127"/>
      <c r="AF133" s="127"/>
      <c r="AG133" s="127"/>
      <c r="AH133" s="124"/>
      <c r="AI133" s="127"/>
      <c r="AJ133" s="127"/>
      <c r="AK133" s="126"/>
      <c r="AL133" s="122"/>
      <c r="AM133" s="122"/>
      <c r="AN133" s="122"/>
      <c r="AO133" s="122"/>
      <c r="AP133" s="122"/>
      <c r="AQ133" s="124"/>
    </row>
    <row r="134" spans="1:43" ht="15.75" customHeight="1">
      <c r="A134" s="122"/>
      <c r="B134" s="122"/>
      <c r="C134" s="122"/>
      <c r="D134" s="122"/>
      <c r="E134" s="122"/>
      <c r="F134" s="122"/>
      <c r="G134" s="122"/>
      <c r="H134" s="122"/>
      <c r="I134" s="122"/>
      <c r="J134" s="122"/>
      <c r="K134" s="122"/>
      <c r="L134" s="122"/>
      <c r="M134" s="123"/>
      <c r="N134" s="123"/>
      <c r="O134" s="122"/>
      <c r="P134" s="124"/>
      <c r="Q134" s="122"/>
      <c r="R134" s="122"/>
      <c r="S134" s="122"/>
      <c r="T134" s="122"/>
      <c r="U134" s="122"/>
      <c r="V134" s="124"/>
      <c r="W134" s="125"/>
      <c r="X134" s="122"/>
      <c r="Y134" s="122"/>
      <c r="Z134" s="122"/>
      <c r="AA134" s="126"/>
      <c r="AB134" s="122"/>
      <c r="AC134" s="122"/>
      <c r="AD134" s="127"/>
      <c r="AE134" s="127"/>
      <c r="AF134" s="127"/>
      <c r="AG134" s="127"/>
      <c r="AH134" s="124"/>
      <c r="AI134" s="127"/>
      <c r="AJ134" s="127"/>
      <c r="AK134" s="126"/>
      <c r="AL134" s="122"/>
      <c r="AM134" s="122"/>
      <c r="AN134" s="122"/>
      <c r="AO134" s="122"/>
      <c r="AP134" s="122"/>
      <c r="AQ134" s="124"/>
    </row>
    <row r="135" spans="1:43" ht="15.75" customHeight="1">
      <c r="A135" s="122"/>
      <c r="B135" s="122"/>
      <c r="C135" s="122"/>
      <c r="D135" s="122"/>
      <c r="E135" s="122"/>
      <c r="F135" s="122"/>
      <c r="G135" s="122"/>
      <c r="H135" s="122"/>
      <c r="I135" s="122"/>
      <c r="J135" s="122"/>
      <c r="K135" s="122"/>
      <c r="L135" s="122"/>
      <c r="M135" s="123"/>
      <c r="N135" s="123"/>
      <c r="O135" s="122"/>
      <c r="P135" s="124"/>
      <c r="Q135" s="122"/>
      <c r="R135" s="122"/>
      <c r="S135" s="122"/>
      <c r="T135" s="122"/>
      <c r="U135" s="122"/>
      <c r="V135" s="124"/>
      <c r="W135" s="125"/>
      <c r="X135" s="122"/>
      <c r="Y135" s="122"/>
      <c r="Z135" s="122"/>
      <c r="AA135" s="126"/>
      <c r="AB135" s="122"/>
      <c r="AC135" s="122"/>
      <c r="AD135" s="127"/>
      <c r="AE135" s="127"/>
      <c r="AF135" s="127"/>
      <c r="AG135" s="127"/>
      <c r="AH135" s="124"/>
      <c r="AI135" s="127"/>
      <c r="AJ135" s="127"/>
      <c r="AK135" s="126"/>
      <c r="AL135" s="122"/>
      <c r="AM135" s="122"/>
      <c r="AN135" s="122"/>
      <c r="AO135" s="122"/>
      <c r="AP135" s="122"/>
      <c r="AQ135" s="124"/>
    </row>
    <row r="136" spans="1:43" ht="15.75" customHeight="1">
      <c r="A136" s="122"/>
      <c r="B136" s="122"/>
      <c r="C136" s="122"/>
      <c r="D136" s="122"/>
      <c r="E136" s="122"/>
      <c r="F136" s="122"/>
      <c r="G136" s="122"/>
      <c r="H136" s="122"/>
      <c r="I136" s="122"/>
      <c r="J136" s="122"/>
      <c r="K136" s="122"/>
      <c r="L136" s="122"/>
      <c r="M136" s="123"/>
      <c r="N136" s="123"/>
      <c r="O136" s="122"/>
      <c r="P136" s="124"/>
      <c r="Q136" s="122"/>
      <c r="R136" s="122"/>
      <c r="S136" s="122"/>
      <c r="T136" s="122"/>
      <c r="U136" s="122"/>
      <c r="V136" s="124"/>
      <c r="W136" s="125"/>
      <c r="X136" s="122"/>
      <c r="Y136" s="122"/>
      <c r="Z136" s="122"/>
      <c r="AA136" s="126"/>
      <c r="AB136" s="122"/>
      <c r="AC136" s="122"/>
      <c r="AD136" s="127"/>
      <c r="AE136" s="127"/>
      <c r="AF136" s="127"/>
      <c r="AG136" s="127"/>
      <c r="AH136" s="124"/>
      <c r="AI136" s="127"/>
      <c r="AJ136" s="127"/>
      <c r="AK136" s="126"/>
      <c r="AL136" s="122"/>
      <c r="AM136" s="122"/>
      <c r="AN136" s="122"/>
      <c r="AO136" s="122"/>
      <c r="AP136" s="122"/>
      <c r="AQ136" s="124"/>
    </row>
    <row r="137" spans="1:43" ht="15.75" customHeight="1">
      <c r="A137" s="122"/>
      <c r="B137" s="122"/>
      <c r="C137" s="122"/>
      <c r="D137" s="122"/>
      <c r="E137" s="122"/>
      <c r="F137" s="122"/>
      <c r="G137" s="122"/>
      <c r="H137" s="122"/>
      <c r="I137" s="122"/>
      <c r="J137" s="122"/>
      <c r="K137" s="122"/>
      <c r="L137" s="122"/>
      <c r="M137" s="123"/>
      <c r="N137" s="123"/>
      <c r="O137" s="122"/>
      <c r="P137" s="124"/>
      <c r="Q137" s="122"/>
      <c r="R137" s="122"/>
      <c r="S137" s="122"/>
      <c r="T137" s="122"/>
      <c r="U137" s="122"/>
      <c r="V137" s="124"/>
      <c r="W137" s="125"/>
      <c r="X137" s="122"/>
      <c r="Y137" s="122"/>
      <c r="Z137" s="122"/>
      <c r="AA137" s="126"/>
      <c r="AB137" s="122"/>
      <c r="AC137" s="122"/>
      <c r="AD137" s="127"/>
      <c r="AE137" s="127"/>
      <c r="AF137" s="127"/>
      <c r="AG137" s="127"/>
      <c r="AH137" s="124"/>
      <c r="AI137" s="127"/>
      <c r="AJ137" s="127"/>
      <c r="AK137" s="126"/>
      <c r="AL137" s="122"/>
      <c r="AM137" s="122"/>
      <c r="AN137" s="122"/>
      <c r="AO137" s="122"/>
      <c r="AP137" s="122"/>
      <c r="AQ137" s="124"/>
    </row>
    <row r="138" spans="1:43" ht="15.75" customHeight="1">
      <c r="A138" s="122"/>
      <c r="B138" s="122"/>
      <c r="C138" s="122"/>
      <c r="D138" s="122"/>
      <c r="E138" s="122"/>
      <c r="F138" s="122"/>
      <c r="G138" s="122"/>
      <c r="H138" s="122"/>
      <c r="I138" s="122"/>
      <c r="J138" s="122"/>
      <c r="K138" s="122"/>
      <c r="L138" s="122"/>
      <c r="M138" s="123"/>
      <c r="N138" s="123"/>
      <c r="O138" s="122"/>
      <c r="P138" s="124"/>
      <c r="Q138" s="122"/>
      <c r="R138" s="122"/>
      <c r="S138" s="122"/>
      <c r="T138" s="122"/>
      <c r="U138" s="122"/>
      <c r="V138" s="124"/>
      <c r="W138" s="125"/>
      <c r="X138" s="122"/>
      <c r="Y138" s="122"/>
      <c r="Z138" s="122"/>
      <c r="AA138" s="126"/>
      <c r="AB138" s="122"/>
      <c r="AC138" s="122"/>
      <c r="AD138" s="127"/>
      <c r="AE138" s="127"/>
      <c r="AF138" s="127"/>
      <c r="AG138" s="127"/>
      <c r="AH138" s="124"/>
      <c r="AI138" s="127"/>
      <c r="AJ138" s="127"/>
      <c r="AK138" s="126"/>
      <c r="AL138" s="122"/>
      <c r="AM138" s="122"/>
      <c r="AN138" s="122"/>
      <c r="AO138" s="122"/>
      <c r="AP138" s="122"/>
      <c r="AQ138" s="124"/>
    </row>
    <row r="139" spans="1:43" ht="15.75" customHeight="1">
      <c r="A139" s="122"/>
      <c r="B139" s="122"/>
      <c r="C139" s="122"/>
      <c r="D139" s="122"/>
      <c r="E139" s="122"/>
      <c r="F139" s="122"/>
      <c r="G139" s="122"/>
      <c r="H139" s="122"/>
      <c r="I139" s="122"/>
      <c r="J139" s="122"/>
      <c r="K139" s="122"/>
      <c r="L139" s="122"/>
      <c r="M139" s="123"/>
      <c r="N139" s="123"/>
      <c r="O139" s="122"/>
      <c r="P139" s="124"/>
      <c r="Q139" s="122"/>
      <c r="R139" s="122"/>
      <c r="S139" s="122"/>
      <c r="T139" s="122"/>
      <c r="U139" s="122"/>
      <c r="V139" s="124"/>
      <c r="W139" s="125"/>
      <c r="X139" s="122"/>
      <c r="Y139" s="122"/>
      <c r="Z139" s="122"/>
      <c r="AA139" s="126"/>
      <c r="AB139" s="122"/>
      <c r="AC139" s="122"/>
      <c r="AD139" s="127"/>
      <c r="AE139" s="127"/>
      <c r="AF139" s="127"/>
      <c r="AG139" s="127"/>
      <c r="AH139" s="124"/>
      <c r="AI139" s="127"/>
      <c r="AJ139" s="127"/>
      <c r="AK139" s="126"/>
      <c r="AL139" s="122"/>
      <c r="AM139" s="122"/>
      <c r="AN139" s="122"/>
      <c r="AO139" s="122"/>
      <c r="AP139" s="122"/>
      <c r="AQ139" s="124"/>
    </row>
    <row r="140" spans="1:43" ht="15.75" customHeight="1">
      <c r="A140" s="122"/>
      <c r="B140" s="122"/>
      <c r="C140" s="122"/>
      <c r="D140" s="122"/>
      <c r="E140" s="122"/>
      <c r="F140" s="122"/>
      <c r="G140" s="122"/>
      <c r="H140" s="122"/>
      <c r="I140" s="122"/>
      <c r="J140" s="122"/>
      <c r="K140" s="122"/>
      <c r="L140" s="122"/>
      <c r="M140" s="123"/>
      <c r="N140" s="123"/>
      <c r="O140" s="122"/>
      <c r="P140" s="124"/>
      <c r="Q140" s="122"/>
      <c r="R140" s="122"/>
      <c r="S140" s="122"/>
      <c r="T140" s="122"/>
      <c r="U140" s="122"/>
      <c r="V140" s="124"/>
      <c r="W140" s="125"/>
      <c r="X140" s="122"/>
      <c r="Y140" s="122"/>
      <c r="Z140" s="122"/>
      <c r="AA140" s="126"/>
      <c r="AB140" s="122"/>
      <c r="AC140" s="122"/>
      <c r="AD140" s="127"/>
      <c r="AE140" s="127"/>
      <c r="AF140" s="127"/>
      <c r="AG140" s="127"/>
      <c r="AH140" s="124"/>
      <c r="AI140" s="127"/>
      <c r="AJ140" s="127"/>
      <c r="AK140" s="126"/>
      <c r="AL140" s="122"/>
      <c r="AM140" s="122"/>
      <c r="AN140" s="122"/>
      <c r="AO140" s="122"/>
      <c r="AP140" s="122"/>
      <c r="AQ140" s="124"/>
    </row>
    <row r="141" spans="1:43" ht="15.75" customHeight="1">
      <c r="A141" s="122"/>
      <c r="B141" s="122"/>
      <c r="C141" s="122"/>
      <c r="D141" s="122"/>
      <c r="E141" s="122"/>
      <c r="F141" s="122"/>
      <c r="G141" s="122"/>
      <c r="H141" s="122"/>
      <c r="I141" s="122"/>
      <c r="J141" s="122"/>
      <c r="K141" s="122"/>
      <c r="L141" s="122"/>
      <c r="M141" s="123"/>
      <c r="N141" s="123"/>
      <c r="O141" s="122"/>
      <c r="P141" s="124"/>
      <c r="Q141" s="122"/>
      <c r="R141" s="122"/>
      <c r="S141" s="122"/>
      <c r="T141" s="122"/>
      <c r="U141" s="122"/>
      <c r="V141" s="124"/>
      <c r="W141" s="125"/>
      <c r="X141" s="122"/>
      <c r="Y141" s="122"/>
      <c r="Z141" s="122"/>
      <c r="AA141" s="126"/>
      <c r="AB141" s="122"/>
      <c r="AC141" s="122"/>
      <c r="AD141" s="127"/>
      <c r="AE141" s="127"/>
      <c r="AF141" s="127"/>
      <c r="AG141" s="127"/>
      <c r="AH141" s="124"/>
      <c r="AI141" s="127"/>
      <c r="AJ141" s="127"/>
      <c r="AK141" s="126"/>
      <c r="AL141" s="122"/>
      <c r="AM141" s="122"/>
      <c r="AN141" s="122"/>
      <c r="AO141" s="122"/>
      <c r="AP141" s="122"/>
      <c r="AQ141" s="124"/>
    </row>
    <row r="142" spans="1:43" ht="15.75" customHeight="1">
      <c r="A142" s="122"/>
      <c r="B142" s="122"/>
      <c r="C142" s="122"/>
      <c r="D142" s="122"/>
      <c r="E142" s="122"/>
      <c r="F142" s="122"/>
      <c r="G142" s="122"/>
      <c r="H142" s="122"/>
      <c r="I142" s="122"/>
      <c r="J142" s="122"/>
      <c r="K142" s="122"/>
      <c r="L142" s="122"/>
      <c r="M142" s="123"/>
      <c r="N142" s="123"/>
      <c r="O142" s="122"/>
      <c r="P142" s="124"/>
      <c r="Q142" s="122"/>
      <c r="R142" s="122"/>
      <c r="S142" s="122"/>
      <c r="T142" s="122"/>
      <c r="U142" s="122"/>
      <c r="V142" s="124"/>
      <c r="W142" s="125"/>
      <c r="X142" s="122"/>
      <c r="Y142" s="122"/>
      <c r="Z142" s="122"/>
      <c r="AA142" s="126"/>
      <c r="AB142" s="122"/>
      <c r="AC142" s="122"/>
      <c r="AD142" s="127"/>
      <c r="AE142" s="127"/>
      <c r="AF142" s="127"/>
      <c r="AG142" s="127"/>
      <c r="AH142" s="124"/>
      <c r="AI142" s="127"/>
      <c r="AJ142" s="127"/>
      <c r="AK142" s="126"/>
      <c r="AL142" s="122"/>
      <c r="AM142" s="122"/>
      <c r="AN142" s="122"/>
      <c r="AO142" s="122"/>
      <c r="AP142" s="122"/>
      <c r="AQ142" s="124"/>
    </row>
    <row r="143" spans="1:43" ht="15.75" customHeight="1">
      <c r="A143" s="122"/>
      <c r="B143" s="122"/>
      <c r="C143" s="122"/>
      <c r="D143" s="122"/>
      <c r="E143" s="122"/>
      <c r="F143" s="122"/>
      <c r="G143" s="122"/>
      <c r="H143" s="122"/>
      <c r="I143" s="122"/>
      <c r="J143" s="122"/>
      <c r="K143" s="122"/>
      <c r="L143" s="122"/>
      <c r="M143" s="123"/>
      <c r="N143" s="123"/>
      <c r="O143" s="122"/>
      <c r="P143" s="124"/>
      <c r="Q143" s="122"/>
      <c r="R143" s="122"/>
      <c r="S143" s="122"/>
      <c r="T143" s="122"/>
      <c r="U143" s="122"/>
      <c r="V143" s="124"/>
      <c r="W143" s="125"/>
      <c r="X143" s="122"/>
      <c r="Y143" s="122"/>
      <c r="Z143" s="122"/>
      <c r="AA143" s="126"/>
      <c r="AB143" s="122"/>
      <c r="AC143" s="122"/>
      <c r="AD143" s="127"/>
      <c r="AE143" s="127"/>
      <c r="AF143" s="127"/>
      <c r="AG143" s="127"/>
      <c r="AH143" s="124"/>
      <c r="AI143" s="127"/>
      <c r="AJ143" s="127"/>
      <c r="AK143" s="126"/>
      <c r="AL143" s="122"/>
      <c r="AM143" s="122"/>
      <c r="AN143" s="122"/>
      <c r="AO143" s="122"/>
      <c r="AP143" s="122"/>
      <c r="AQ143" s="124"/>
    </row>
    <row r="144" spans="1:43" ht="15.75" customHeight="1">
      <c r="A144" s="122"/>
      <c r="B144" s="122"/>
      <c r="C144" s="122"/>
      <c r="D144" s="122"/>
      <c r="E144" s="122"/>
      <c r="F144" s="122"/>
      <c r="G144" s="122"/>
      <c r="H144" s="122"/>
      <c r="I144" s="122"/>
      <c r="J144" s="122"/>
      <c r="K144" s="122"/>
      <c r="L144" s="122"/>
      <c r="M144" s="123"/>
      <c r="N144" s="123"/>
      <c r="O144" s="122"/>
      <c r="P144" s="124"/>
      <c r="Q144" s="122"/>
      <c r="R144" s="122"/>
      <c r="S144" s="122"/>
      <c r="T144" s="122"/>
      <c r="U144" s="122"/>
      <c r="V144" s="124"/>
      <c r="W144" s="125"/>
      <c r="X144" s="122"/>
      <c r="Y144" s="122"/>
      <c r="Z144" s="122"/>
      <c r="AA144" s="126"/>
      <c r="AB144" s="122"/>
      <c r="AC144" s="122"/>
      <c r="AD144" s="127"/>
      <c r="AE144" s="127"/>
      <c r="AF144" s="127"/>
      <c r="AG144" s="127"/>
      <c r="AH144" s="124"/>
      <c r="AI144" s="127"/>
      <c r="AJ144" s="127"/>
      <c r="AK144" s="126"/>
      <c r="AL144" s="122"/>
      <c r="AM144" s="122"/>
      <c r="AN144" s="122"/>
      <c r="AO144" s="122"/>
      <c r="AP144" s="122"/>
      <c r="AQ144" s="124"/>
    </row>
    <row r="145" spans="1:43" ht="15.75" customHeight="1">
      <c r="A145" s="122"/>
      <c r="B145" s="122"/>
      <c r="C145" s="122"/>
      <c r="D145" s="122"/>
      <c r="E145" s="122"/>
      <c r="F145" s="122"/>
      <c r="G145" s="122"/>
      <c r="H145" s="122"/>
      <c r="I145" s="122"/>
      <c r="J145" s="122"/>
      <c r="K145" s="122"/>
      <c r="L145" s="122"/>
      <c r="M145" s="123"/>
      <c r="N145" s="123"/>
      <c r="O145" s="122"/>
      <c r="P145" s="124"/>
      <c r="Q145" s="122"/>
      <c r="R145" s="122"/>
      <c r="S145" s="122"/>
      <c r="T145" s="122"/>
      <c r="U145" s="122"/>
      <c r="V145" s="124"/>
      <c r="W145" s="125"/>
      <c r="X145" s="122"/>
      <c r="Y145" s="122"/>
      <c r="Z145" s="122"/>
      <c r="AA145" s="126"/>
      <c r="AB145" s="122"/>
      <c r="AC145" s="122"/>
      <c r="AD145" s="127"/>
      <c r="AE145" s="127"/>
      <c r="AF145" s="127"/>
      <c r="AG145" s="127"/>
      <c r="AH145" s="124"/>
      <c r="AI145" s="127"/>
      <c r="AJ145" s="127"/>
      <c r="AK145" s="126"/>
      <c r="AL145" s="122"/>
      <c r="AM145" s="122"/>
      <c r="AN145" s="122"/>
      <c r="AO145" s="122"/>
      <c r="AP145" s="122"/>
      <c r="AQ145" s="124"/>
    </row>
    <row r="146" spans="1:43" ht="15.75" customHeight="1">
      <c r="A146" s="122"/>
      <c r="B146" s="122"/>
      <c r="C146" s="122"/>
      <c r="D146" s="122"/>
      <c r="E146" s="122"/>
      <c r="F146" s="122"/>
      <c r="G146" s="122"/>
      <c r="H146" s="122"/>
      <c r="I146" s="122"/>
      <c r="J146" s="122"/>
      <c r="K146" s="122"/>
      <c r="L146" s="122"/>
      <c r="M146" s="123"/>
      <c r="N146" s="123"/>
      <c r="O146" s="122"/>
      <c r="P146" s="124"/>
      <c r="Q146" s="122"/>
      <c r="R146" s="122"/>
      <c r="S146" s="122"/>
      <c r="T146" s="122"/>
      <c r="U146" s="122"/>
      <c r="V146" s="124"/>
      <c r="W146" s="125"/>
      <c r="X146" s="122"/>
      <c r="Y146" s="122"/>
      <c r="Z146" s="122"/>
      <c r="AA146" s="126"/>
      <c r="AB146" s="122"/>
      <c r="AC146" s="122"/>
      <c r="AD146" s="127"/>
      <c r="AE146" s="127"/>
      <c r="AF146" s="127"/>
      <c r="AG146" s="127"/>
      <c r="AH146" s="124"/>
      <c r="AI146" s="127"/>
      <c r="AJ146" s="127"/>
      <c r="AK146" s="126"/>
      <c r="AL146" s="122"/>
      <c r="AM146" s="122"/>
      <c r="AN146" s="122"/>
      <c r="AO146" s="122"/>
      <c r="AP146" s="122"/>
      <c r="AQ146" s="124"/>
    </row>
    <row r="147" spans="1:43" ht="15.75" customHeight="1">
      <c r="A147" s="122"/>
      <c r="B147" s="122"/>
      <c r="C147" s="122"/>
      <c r="D147" s="122"/>
      <c r="E147" s="122"/>
      <c r="F147" s="122"/>
      <c r="G147" s="122"/>
      <c r="H147" s="122"/>
      <c r="I147" s="122"/>
      <c r="J147" s="122"/>
      <c r="K147" s="122"/>
      <c r="L147" s="122"/>
      <c r="M147" s="123"/>
      <c r="N147" s="123"/>
      <c r="O147" s="122"/>
      <c r="P147" s="124"/>
      <c r="Q147" s="122"/>
      <c r="R147" s="122"/>
      <c r="S147" s="122"/>
      <c r="T147" s="122"/>
      <c r="U147" s="122"/>
      <c r="V147" s="124"/>
      <c r="W147" s="125"/>
      <c r="X147" s="122"/>
      <c r="Y147" s="122"/>
      <c r="Z147" s="122"/>
      <c r="AA147" s="126"/>
      <c r="AB147" s="122"/>
      <c r="AC147" s="122"/>
      <c r="AD147" s="127"/>
      <c r="AE147" s="127"/>
      <c r="AF147" s="127"/>
      <c r="AG147" s="127"/>
      <c r="AH147" s="124"/>
      <c r="AI147" s="127"/>
      <c r="AJ147" s="127"/>
      <c r="AK147" s="126"/>
      <c r="AL147" s="122"/>
      <c r="AM147" s="122"/>
      <c r="AN147" s="122"/>
      <c r="AO147" s="122"/>
      <c r="AP147" s="122"/>
      <c r="AQ147" s="124"/>
    </row>
    <row r="148" spans="1:43" ht="15.75" customHeight="1">
      <c r="A148" s="122"/>
      <c r="B148" s="122"/>
      <c r="C148" s="122"/>
      <c r="D148" s="122"/>
      <c r="E148" s="122"/>
      <c r="F148" s="122"/>
      <c r="G148" s="122"/>
      <c r="H148" s="122"/>
      <c r="I148" s="122"/>
      <c r="J148" s="122"/>
      <c r="K148" s="122"/>
      <c r="L148" s="122"/>
      <c r="M148" s="123"/>
      <c r="N148" s="123"/>
      <c r="O148" s="122"/>
      <c r="P148" s="124"/>
      <c r="Q148" s="122"/>
      <c r="R148" s="122"/>
      <c r="S148" s="122"/>
      <c r="T148" s="122"/>
      <c r="U148" s="122"/>
      <c r="V148" s="124"/>
      <c r="W148" s="125"/>
      <c r="X148" s="122"/>
      <c r="Y148" s="122"/>
      <c r="Z148" s="122"/>
      <c r="AA148" s="126"/>
      <c r="AB148" s="122"/>
      <c r="AC148" s="122"/>
      <c r="AD148" s="127"/>
      <c r="AE148" s="127"/>
      <c r="AF148" s="127"/>
      <c r="AG148" s="127"/>
      <c r="AH148" s="124"/>
      <c r="AI148" s="127"/>
      <c r="AJ148" s="127"/>
      <c r="AK148" s="126"/>
      <c r="AL148" s="122"/>
      <c r="AM148" s="122"/>
      <c r="AN148" s="122"/>
      <c r="AO148" s="122"/>
      <c r="AP148" s="122"/>
      <c r="AQ148" s="124"/>
    </row>
    <row r="149" spans="1:43" ht="15.75" customHeight="1">
      <c r="A149" s="122"/>
      <c r="B149" s="122"/>
      <c r="C149" s="122"/>
      <c r="D149" s="122"/>
      <c r="E149" s="122"/>
      <c r="F149" s="122"/>
      <c r="G149" s="122"/>
      <c r="H149" s="122"/>
      <c r="I149" s="122"/>
      <c r="J149" s="122"/>
      <c r="K149" s="122"/>
      <c r="L149" s="122"/>
      <c r="M149" s="123"/>
      <c r="N149" s="123"/>
      <c r="O149" s="122"/>
      <c r="P149" s="124"/>
      <c r="Q149" s="122"/>
      <c r="R149" s="122"/>
      <c r="S149" s="122"/>
      <c r="T149" s="122"/>
      <c r="U149" s="122"/>
      <c r="V149" s="124"/>
      <c r="W149" s="125"/>
      <c r="X149" s="122"/>
      <c r="Y149" s="122"/>
      <c r="Z149" s="122"/>
      <c r="AA149" s="126"/>
      <c r="AB149" s="122"/>
      <c r="AC149" s="122"/>
      <c r="AD149" s="127"/>
      <c r="AE149" s="127"/>
      <c r="AF149" s="127"/>
      <c r="AG149" s="127"/>
      <c r="AH149" s="124"/>
      <c r="AI149" s="127"/>
      <c r="AJ149" s="127"/>
      <c r="AK149" s="126"/>
      <c r="AL149" s="122"/>
      <c r="AM149" s="122"/>
      <c r="AN149" s="122"/>
      <c r="AO149" s="122"/>
      <c r="AP149" s="122"/>
      <c r="AQ149" s="124"/>
    </row>
    <row r="150" spans="1:43" ht="15.75" customHeight="1">
      <c r="A150" s="122"/>
      <c r="B150" s="122"/>
      <c r="C150" s="122"/>
      <c r="D150" s="122"/>
      <c r="E150" s="122"/>
      <c r="F150" s="122"/>
      <c r="G150" s="122"/>
      <c r="H150" s="122"/>
      <c r="I150" s="122"/>
      <c r="J150" s="122"/>
      <c r="K150" s="122"/>
      <c r="L150" s="122"/>
      <c r="M150" s="123"/>
      <c r="N150" s="123"/>
      <c r="O150" s="122"/>
      <c r="P150" s="124"/>
      <c r="Q150" s="122"/>
      <c r="R150" s="122"/>
      <c r="S150" s="122"/>
      <c r="T150" s="122"/>
      <c r="U150" s="122"/>
      <c r="V150" s="124"/>
      <c r="W150" s="125"/>
      <c r="X150" s="122"/>
      <c r="Y150" s="122"/>
      <c r="Z150" s="122"/>
      <c r="AA150" s="126"/>
      <c r="AB150" s="122"/>
      <c r="AC150" s="122"/>
      <c r="AD150" s="127"/>
      <c r="AE150" s="127"/>
      <c r="AF150" s="127"/>
      <c r="AG150" s="127"/>
      <c r="AH150" s="124"/>
      <c r="AI150" s="127"/>
      <c r="AJ150" s="127"/>
      <c r="AK150" s="126"/>
      <c r="AL150" s="122"/>
      <c r="AM150" s="122"/>
      <c r="AN150" s="122"/>
      <c r="AO150" s="122"/>
      <c r="AP150" s="122"/>
      <c r="AQ150" s="124"/>
    </row>
    <row r="151" spans="1:43" ht="15.75" customHeight="1">
      <c r="A151" s="122"/>
      <c r="B151" s="122"/>
      <c r="C151" s="122"/>
      <c r="D151" s="122"/>
      <c r="E151" s="122"/>
      <c r="F151" s="122"/>
      <c r="G151" s="122"/>
      <c r="H151" s="122"/>
      <c r="I151" s="122"/>
      <c r="J151" s="122"/>
      <c r="K151" s="122"/>
      <c r="L151" s="122"/>
      <c r="M151" s="123"/>
      <c r="N151" s="123"/>
      <c r="O151" s="122"/>
      <c r="P151" s="124"/>
      <c r="Q151" s="122"/>
      <c r="R151" s="122"/>
      <c r="S151" s="122"/>
      <c r="T151" s="122"/>
      <c r="U151" s="122"/>
      <c r="V151" s="124"/>
      <c r="W151" s="125"/>
      <c r="X151" s="122"/>
      <c r="Y151" s="122"/>
      <c r="Z151" s="122"/>
      <c r="AA151" s="126"/>
      <c r="AB151" s="122"/>
      <c r="AC151" s="122"/>
      <c r="AD151" s="127"/>
      <c r="AE151" s="127"/>
      <c r="AF151" s="127"/>
      <c r="AG151" s="127"/>
      <c r="AH151" s="124"/>
      <c r="AI151" s="127"/>
      <c r="AJ151" s="127"/>
      <c r="AK151" s="126"/>
      <c r="AL151" s="122"/>
      <c r="AM151" s="122"/>
      <c r="AN151" s="122"/>
      <c r="AO151" s="122"/>
      <c r="AP151" s="122"/>
      <c r="AQ151" s="124"/>
    </row>
    <row r="152" spans="1:43" ht="15.75" customHeight="1">
      <c r="A152" s="122"/>
      <c r="B152" s="122"/>
      <c r="C152" s="122"/>
      <c r="D152" s="122"/>
      <c r="E152" s="122"/>
      <c r="F152" s="122"/>
      <c r="G152" s="122"/>
      <c r="H152" s="122"/>
      <c r="I152" s="122"/>
      <c r="J152" s="122"/>
      <c r="K152" s="122"/>
      <c r="L152" s="122"/>
      <c r="M152" s="123"/>
      <c r="N152" s="123"/>
      <c r="O152" s="122"/>
      <c r="P152" s="124"/>
      <c r="Q152" s="122"/>
      <c r="R152" s="122"/>
      <c r="S152" s="122"/>
      <c r="T152" s="122"/>
      <c r="U152" s="122"/>
      <c r="V152" s="124"/>
      <c r="W152" s="125"/>
      <c r="X152" s="122"/>
      <c r="Y152" s="122"/>
      <c r="Z152" s="122"/>
      <c r="AA152" s="126"/>
      <c r="AB152" s="122"/>
      <c r="AC152" s="122"/>
      <c r="AD152" s="127"/>
      <c r="AE152" s="127"/>
      <c r="AF152" s="127"/>
      <c r="AG152" s="127"/>
      <c r="AH152" s="124"/>
      <c r="AI152" s="127"/>
      <c r="AJ152" s="127"/>
      <c r="AK152" s="126"/>
      <c r="AL152" s="122"/>
      <c r="AM152" s="122"/>
      <c r="AN152" s="122"/>
      <c r="AO152" s="122"/>
      <c r="AP152" s="122"/>
      <c r="AQ152" s="124"/>
    </row>
    <row r="153" spans="1:43" ht="15.75" customHeight="1">
      <c r="A153" s="122"/>
      <c r="B153" s="122"/>
      <c r="C153" s="122"/>
      <c r="D153" s="122"/>
      <c r="E153" s="122"/>
      <c r="F153" s="122"/>
      <c r="G153" s="122"/>
      <c r="H153" s="122"/>
      <c r="I153" s="122"/>
      <c r="J153" s="122"/>
      <c r="K153" s="122"/>
      <c r="L153" s="122"/>
      <c r="M153" s="123"/>
      <c r="N153" s="123"/>
      <c r="O153" s="122"/>
      <c r="P153" s="124"/>
      <c r="Q153" s="122"/>
      <c r="R153" s="122"/>
      <c r="S153" s="122"/>
      <c r="T153" s="122"/>
      <c r="U153" s="122"/>
      <c r="V153" s="124"/>
      <c r="W153" s="125"/>
      <c r="X153" s="122"/>
      <c r="Y153" s="122"/>
      <c r="Z153" s="122"/>
      <c r="AA153" s="126"/>
      <c r="AB153" s="122"/>
      <c r="AC153" s="122"/>
      <c r="AD153" s="127"/>
      <c r="AE153" s="127"/>
      <c r="AF153" s="127"/>
      <c r="AG153" s="127"/>
      <c r="AH153" s="124"/>
      <c r="AI153" s="127"/>
      <c r="AJ153" s="127"/>
      <c r="AK153" s="126"/>
      <c r="AL153" s="122"/>
      <c r="AM153" s="122"/>
      <c r="AN153" s="122"/>
      <c r="AO153" s="122"/>
      <c r="AP153" s="122"/>
      <c r="AQ153" s="124"/>
    </row>
    <row r="154" spans="1:43" ht="15.75" customHeight="1">
      <c r="A154" s="122"/>
      <c r="B154" s="122"/>
      <c r="C154" s="122"/>
      <c r="D154" s="122"/>
      <c r="E154" s="122"/>
      <c r="F154" s="122"/>
      <c r="G154" s="122"/>
      <c r="H154" s="122"/>
      <c r="I154" s="122"/>
      <c r="J154" s="122"/>
      <c r="K154" s="122"/>
      <c r="L154" s="122"/>
      <c r="M154" s="123"/>
      <c r="N154" s="123"/>
      <c r="O154" s="122"/>
      <c r="P154" s="124"/>
      <c r="Q154" s="122"/>
      <c r="R154" s="122"/>
      <c r="S154" s="122"/>
      <c r="T154" s="122"/>
      <c r="U154" s="122"/>
      <c r="V154" s="124"/>
      <c r="W154" s="125"/>
      <c r="X154" s="122"/>
      <c r="Y154" s="122"/>
      <c r="Z154" s="122"/>
      <c r="AA154" s="126"/>
      <c r="AB154" s="122"/>
      <c r="AC154" s="122"/>
      <c r="AD154" s="127"/>
      <c r="AE154" s="127"/>
      <c r="AF154" s="127"/>
      <c r="AG154" s="127"/>
      <c r="AH154" s="124"/>
      <c r="AI154" s="127"/>
      <c r="AJ154" s="127"/>
      <c r="AK154" s="126"/>
      <c r="AL154" s="122"/>
      <c r="AM154" s="122"/>
      <c r="AN154" s="122"/>
      <c r="AO154" s="122"/>
      <c r="AP154" s="122"/>
      <c r="AQ154" s="124"/>
    </row>
    <row r="155" spans="1:43" ht="15.75" customHeight="1">
      <c r="A155" s="122"/>
      <c r="B155" s="122"/>
      <c r="C155" s="122"/>
      <c r="D155" s="122"/>
      <c r="E155" s="122"/>
      <c r="F155" s="122"/>
      <c r="G155" s="122"/>
      <c r="H155" s="122"/>
      <c r="I155" s="122"/>
      <c r="J155" s="122"/>
      <c r="K155" s="122"/>
      <c r="L155" s="122"/>
      <c r="M155" s="123"/>
      <c r="N155" s="123"/>
      <c r="O155" s="122"/>
      <c r="P155" s="124"/>
      <c r="Q155" s="122"/>
      <c r="R155" s="122"/>
      <c r="S155" s="122"/>
      <c r="T155" s="122"/>
      <c r="U155" s="122"/>
      <c r="V155" s="124"/>
      <c r="W155" s="125"/>
      <c r="X155" s="122"/>
      <c r="Y155" s="122"/>
      <c r="Z155" s="122"/>
      <c r="AA155" s="126"/>
      <c r="AB155" s="122"/>
      <c r="AC155" s="122"/>
      <c r="AD155" s="127"/>
      <c r="AE155" s="127"/>
      <c r="AF155" s="127"/>
      <c r="AG155" s="127"/>
      <c r="AH155" s="124"/>
      <c r="AI155" s="127"/>
      <c r="AJ155" s="127"/>
      <c r="AK155" s="126"/>
      <c r="AL155" s="122"/>
      <c r="AM155" s="122"/>
      <c r="AN155" s="122"/>
      <c r="AO155" s="122"/>
      <c r="AP155" s="122"/>
      <c r="AQ155" s="124"/>
    </row>
    <row r="156" spans="1:43" ht="15.75" customHeight="1">
      <c r="A156" s="122"/>
      <c r="B156" s="122"/>
      <c r="C156" s="122"/>
      <c r="D156" s="122"/>
      <c r="E156" s="122"/>
      <c r="F156" s="122"/>
      <c r="G156" s="122"/>
      <c r="H156" s="122"/>
      <c r="I156" s="122"/>
      <c r="J156" s="122"/>
      <c r="K156" s="122"/>
      <c r="L156" s="122"/>
      <c r="M156" s="123"/>
      <c r="N156" s="123"/>
      <c r="O156" s="122"/>
      <c r="P156" s="124"/>
      <c r="Q156" s="122"/>
      <c r="R156" s="122"/>
      <c r="S156" s="122"/>
      <c r="T156" s="122"/>
      <c r="U156" s="122"/>
      <c r="V156" s="124"/>
      <c r="W156" s="125"/>
      <c r="X156" s="122"/>
      <c r="Y156" s="122"/>
      <c r="Z156" s="122"/>
      <c r="AA156" s="126"/>
      <c r="AB156" s="122"/>
      <c r="AC156" s="122"/>
      <c r="AD156" s="127"/>
      <c r="AE156" s="127"/>
      <c r="AF156" s="127"/>
      <c r="AG156" s="127"/>
      <c r="AH156" s="124"/>
      <c r="AI156" s="127"/>
      <c r="AJ156" s="127"/>
      <c r="AK156" s="126"/>
      <c r="AL156" s="122"/>
      <c r="AM156" s="122"/>
      <c r="AN156" s="122"/>
      <c r="AO156" s="122"/>
      <c r="AP156" s="122"/>
      <c r="AQ156" s="124"/>
    </row>
    <row r="157" spans="1:43" ht="15.75" customHeight="1">
      <c r="A157" s="122"/>
      <c r="B157" s="122"/>
      <c r="C157" s="122"/>
      <c r="D157" s="122"/>
      <c r="E157" s="122"/>
      <c r="F157" s="122"/>
      <c r="G157" s="122"/>
      <c r="H157" s="122"/>
      <c r="I157" s="122"/>
      <c r="J157" s="122"/>
      <c r="K157" s="122"/>
      <c r="L157" s="122"/>
      <c r="M157" s="123"/>
      <c r="N157" s="123"/>
      <c r="O157" s="122"/>
      <c r="P157" s="124"/>
      <c r="Q157" s="122"/>
      <c r="R157" s="122"/>
      <c r="S157" s="122"/>
      <c r="T157" s="122"/>
      <c r="U157" s="122"/>
      <c r="V157" s="124"/>
      <c r="W157" s="125"/>
      <c r="X157" s="122"/>
      <c r="Y157" s="122"/>
      <c r="Z157" s="122"/>
      <c r="AA157" s="126"/>
      <c r="AB157" s="122"/>
      <c r="AC157" s="122"/>
      <c r="AD157" s="127"/>
      <c r="AE157" s="127"/>
      <c r="AF157" s="127"/>
      <c r="AG157" s="127"/>
      <c r="AH157" s="124"/>
      <c r="AI157" s="127"/>
      <c r="AJ157" s="127"/>
      <c r="AK157" s="126"/>
      <c r="AL157" s="122"/>
      <c r="AM157" s="122"/>
      <c r="AN157" s="122"/>
      <c r="AO157" s="122"/>
      <c r="AP157" s="122"/>
      <c r="AQ157" s="124"/>
    </row>
    <row r="158" spans="1:43" ht="15.75" customHeight="1">
      <c r="A158" s="122"/>
      <c r="B158" s="122"/>
      <c r="C158" s="122"/>
      <c r="D158" s="122"/>
      <c r="E158" s="122"/>
      <c r="F158" s="122"/>
      <c r="G158" s="122"/>
      <c r="H158" s="122"/>
      <c r="I158" s="122"/>
      <c r="J158" s="122"/>
      <c r="K158" s="122"/>
      <c r="L158" s="122"/>
      <c r="M158" s="123"/>
      <c r="N158" s="123"/>
      <c r="O158" s="122"/>
      <c r="P158" s="124"/>
      <c r="Q158" s="122"/>
      <c r="R158" s="122"/>
      <c r="S158" s="122"/>
      <c r="T158" s="122"/>
      <c r="U158" s="122"/>
      <c r="V158" s="124"/>
      <c r="W158" s="125"/>
      <c r="X158" s="122"/>
      <c r="Y158" s="122"/>
      <c r="Z158" s="122"/>
      <c r="AA158" s="126"/>
      <c r="AB158" s="122"/>
      <c r="AC158" s="122"/>
      <c r="AD158" s="127"/>
      <c r="AE158" s="127"/>
      <c r="AF158" s="127"/>
      <c r="AG158" s="127"/>
      <c r="AH158" s="124"/>
      <c r="AI158" s="127"/>
      <c r="AJ158" s="127"/>
      <c r="AK158" s="126"/>
      <c r="AL158" s="122"/>
      <c r="AM158" s="122"/>
      <c r="AN158" s="122"/>
      <c r="AO158" s="122"/>
      <c r="AP158" s="122"/>
      <c r="AQ158" s="124"/>
    </row>
    <row r="159" spans="1:43" ht="15.75" customHeight="1">
      <c r="A159" s="122"/>
      <c r="B159" s="122"/>
      <c r="C159" s="122"/>
      <c r="D159" s="122"/>
      <c r="E159" s="122"/>
      <c r="F159" s="122"/>
      <c r="G159" s="122"/>
      <c r="H159" s="122"/>
      <c r="I159" s="122"/>
      <c r="J159" s="122"/>
      <c r="K159" s="122"/>
      <c r="L159" s="122"/>
      <c r="M159" s="123"/>
      <c r="N159" s="123"/>
      <c r="O159" s="122"/>
      <c r="P159" s="124"/>
      <c r="Q159" s="122"/>
      <c r="R159" s="122"/>
      <c r="S159" s="122"/>
      <c r="T159" s="122"/>
      <c r="U159" s="122"/>
      <c r="V159" s="124"/>
      <c r="W159" s="125"/>
      <c r="X159" s="122"/>
      <c r="Y159" s="122"/>
      <c r="Z159" s="122"/>
      <c r="AA159" s="126"/>
      <c r="AB159" s="122"/>
      <c r="AC159" s="122"/>
      <c r="AD159" s="127"/>
      <c r="AE159" s="127"/>
      <c r="AF159" s="127"/>
      <c r="AG159" s="127"/>
      <c r="AH159" s="124"/>
      <c r="AI159" s="127"/>
      <c r="AJ159" s="127"/>
      <c r="AK159" s="126"/>
      <c r="AL159" s="122"/>
      <c r="AM159" s="122"/>
      <c r="AN159" s="122"/>
      <c r="AO159" s="122"/>
      <c r="AP159" s="122"/>
      <c r="AQ159" s="124"/>
    </row>
    <row r="160" spans="1:43" ht="15.75" customHeight="1">
      <c r="A160" s="122"/>
      <c r="B160" s="122"/>
      <c r="C160" s="122"/>
      <c r="D160" s="122"/>
      <c r="E160" s="122"/>
      <c r="F160" s="122"/>
      <c r="G160" s="122"/>
      <c r="H160" s="122"/>
      <c r="I160" s="122"/>
      <c r="J160" s="122"/>
      <c r="K160" s="122"/>
      <c r="L160" s="122"/>
      <c r="M160" s="123"/>
      <c r="N160" s="123"/>
      <c r="O160" s="122"/>
      <c r="P160" s="124"/>
      <c r="Q160" s="122"/>
      <c r="R160" s="122"/>
      <c r="S160" s="122"/>
      <c r="T160" s="122"/>
      <c r="U160" s="122"/>
      <c r="V160" s="124"/>
      <c r="W160" s="125"/>
      <c r="X160" s="122"/>
      <c r="Y160" s="122"/>
      <c r="Z160" s="122"/>
      <c r="AA160" s="126"/>
      <c r="AB160" s="122"/>
      <c r="AC160" s="122"/>
      <c r="AD160" s="127"/>
      <c r="AE160" s="127"/>
      <c r="AF160" s="127"/>
      <c r="AG160" s="127"/>
      <c r="AH160" s="124"/>
      <c r="AI160" s="127"/>
      <c r="AJ160" s="127"/>
      <c r="AK160" s="126"/>
      <c r="AL160" s="122"/>
      <c r="AM160" s="122"/>
      <c r="AN160" s="122"/>
      <c r="AO160" s="122"/>
      <c r="AP160" s="122"/>
      <c r="AQ160" s="124"/>
    </row>
    <row r="161" spans="1:43" ht="15.75" customHeight="1">
      <c r="A161" s="122"/>
      <c r="B161" s="122"/>
      <c r="C161" s="122"/>
      <c r="D161" s="122"/>
      <c r="E161" s="122"/>
      <c r="F161" s="122"/>
      <c r="G161" s="122"/>
      <c r="H161" s="122"/>
      <c r="I161" s="122"/>
      <c r="J161" s="122"/>
      <c r="K161" s="122"/>
      <c r="L161" s="122"/>
      <c r="M161" s="123"/>
      <c r="N161" s="123"/>
      <c r="O161" s="122"/>
      <c r="P161" s="124"/>
      <c r="Q161" s="122"/>
      <c r="R161" s="122"/>
      <c r="S161" s="122"/>
      <c r="T161" s="122"/>
      <c r="U161" s="122"/>
      <c r="V161" s="124"/>
      <c r="W161" s="125"/>
      <c r="X161" s="122"/>
      <c r="Y161" s="122"/>
      <c r="Z161" s="122"/>
      <c r="AA161" s="126"/>
      <c r="AB161" s="122"/>
      <c r="AC161" s="122"/>
      <c r="AD161" s="127"/>
      <c r="AE161" s="127"/>
      <c r="AF161" s="127"/>
      <c r="AG161" s="127"/>
      <c r="AH161" s="124"/>
      <c r="AI161" s="127"/>
      <c r="AJ161" s="127"/>
      <c r="AK161" s="126"/>
      <c r="AL161" s="122"/>
      <c r="AM161" s="122"/>
      <c r="AN161" s="122"/>
      <c r="AO161" s="122"/>
      <c r="AP161" s="122"/>
      <c r="AQ161" s="124"/>
    </row>
    <row r="162" spans="1:43" ht="15.75" customHeight="1">
      <c r="A162" s="122"/>
      <c r="B162" s="122"/>
      <c r="C162" s="122"/>
      <c r="D162" s="122"/>
      <c r="E162" s="122"/>
      <c r="F162" s="122"/>
      <c r="G162" s="122"/>
      <c r="H162" s="122"/>
      <c r="I162" s="122"/>
      <c r="J162" s="122"/>
      <c r="K162" s="122"/>
      <c r="L162" s="122"/>
      <c r="M162" s="123"/>
      <c r="N162" s="123"/>
      <c r="O162" s="122"/>
      <c r="P162" s="124"/>
      <c r="Q162" s="122"/>
      <c r="R162" s="122"/>
      <c r="S162" s="122"/>
      <c r="T162" s="122"/>
      <c r="U162" s="122"/>
      <c r="V162" s="124"/>
      <c r="W162" s="125"/>
      <c r="X162" s="122"/>
      <c r="Y162" s="122"/>
      <c r="Z162" s="122"/>
      <c r="AA162" s="126"/>
      <c r="AB162" s="122"/>
      <c r="AC162" s="122"/>
      <c r="AD162" s="127"/>
      <c r="AE162" s="127"/>
      <c r="AF162" s="127"/>
      <c r="AG162" s="127"/>
      <c r="AH162" s="124"/>
      <c r="AI162" s="127"/>
      <c r="AJ162" s="127"/>
      <c r="AK162" s="126"/>
      <c r="AL162" s="122"/>
      <c r="AM162" s="122"/>
      <c r="AN162" s="122"/>
      <c r="AO162" s="122"/>
      <c r="AP162" s="122"/>
      <c r="AQ162" s="124"/>
    </row>
    <row r="163" spans="1:43" ht="15.75" customHeight="1">
      <c r="A163" s="122"/>
      <c r="B163" s="122"/>
      <c r="C163" s="122"/>
      <c r="D163" s="122"/>
      <c r="E163" s="122"/>
      <c r="F163" s="122"/>
      <c r="G163" s="122"/>
      <c r="H163" s="122"/>
      <c r="I163" s="122"/>
      <c r="J163" s="122"/>
      <c r="K163" s="122"/>
      <c r="L163" s="122"/>
      <c r="M163" s="123"/>
      <c r="N163" s="123"/>
      <c r="O163" s="122"/>
      <c r="P163" s="124"/>
      <c r="Q163" s="122"/>
      <c r="R163" s="122"/>
      <c r="S163" s="122"/>
      <c r="T163" s="122"/>
      <c r="U163" s="122"/>
      <c r="V163" s="124"/>
      <c r="W163" s="125"/>
      <c r="X163" s="122"/>
      <c r="Y163" s="122"/>
      <c r="Z163" s="122"/>
      <c r="AA163" s="126"/>
      <c r="AB163" s="122"/>
      <c r="AC163" s="122"/>
      <c r="AD163" s="127"/>
      <c r="AE163" s="127"/>
      <c r="AF163" s="127"/>
      <c r="AG163" s="127"/>
      <c r="AH163" s="124"/>
      <c r="AI163" s="127"/>
      <c r="AJ163" s="127"/>
      <c r="AK163" s="126"/>
      <c r="AL163" s="122"/>
      <c r="AM163" s="122"/>
      <c r="AN163" s="122"/>
      <c r="AO163" s="122"/>
      <c r="AP163" s="122"/>
      <c r="AQ163" s="124"/>
    </row>
    <row r="164" spans="1:43" ht="15.75" customHeight="1">
      <c r="A164" s="122"/>
      <c r="B164" s="122"/>
      <c r="C164" s="122"/>
      <c r="D164" s="122"/>
      <c r="E164" s="122"/>
      <c r="F164" s="122"/>
      <c r="G164" s="122"/>
      <c r="H164" s="122"/>
      <c r="I164" s="122"/>
      <c r="J164" s="122"/>
      <c r="K164" s="122"/>
      <c r="L164" s="122"/>
      <c r="M164" s="123"/>
      <c r="N164" s="123"/>
      <c r="O164" s="122"/>
      <c r="P164" s="124"/>
      <c r="Q164" s="122"/>
      <c r="R164" s="122"/>
      <c r="S164" s="122"/>
      <c r="T164" s="122"/>
      <c r="U164" s="122"/>
      <c r="V164" s="124"/>
      <c r="W164" s="125"/>
      <c r="X164" s="122"/>
      <c r="Y164" s="122"/>
      <c r="Z164" s="122"/>
      <c r="AA164" s="126"/>
      <c r="AB164" s="122"/>
      <c r="AC164" s="122"/>
      <c r="AD164" s="127"/>
      <c r="AE164" s="127"/>
      <c r="AF164" s="127"/>
      <c r="AG164" s="127"/>
      <c r="AH164" s="124"/>
      <c r="AI164" s="127"/>
      <c r="AJ164" s="127"/>
      <c r="AK164" s="126"/>
      <c r="AL164" s="122"/>
      <c r="AM164" s="122"/>
      <c r="AN164" s="122"/>
      <c r="AO164" s="122"/>
      <c r="AP164" s="122"/>
      <c r="AQ164" s="124"/>
    </row>
    <row r="165" spans="1:43" ht="15.75" customHeight="1">
      <c r="A165" s="122"/>
      <c r="B165" s="122"/>
      <c r="C165" s="122"/>
      <c r="D165" s="122"/>
      <c r="E165" s="122"/>
      <c r="F165" s="122"/>
      <c r="G165" s="122"/>
      <c r="H165" s="122"/>
      <c r="I165" s="122"/>
      <c r="J165" s="122"/>
      <c r="K165" s="122"/>
      <c r="L165" s="122"/>
      <c r="M165" s="123"/>
      <c r="N165" s="123"/>
      <c r="O165" s="122"/>
      <c r="P165" s="124"/>
      <c r="Q165" s="122"/>
      <c r="R165" s="122"/>
      <c r="S165" s="122"/>
      <c r="T165" s="122"/>
      <c r="U165" s="122"/>
      <c r="V165" s="124"/>
      <c r="W165" s="125"/>
      <c r="X165" s="122"/>
      <c r="Y165" s="122"/>
      <c r="Z165" s="122"/>
      <c r="AA165" s="126"/>
      <c r="AB165" s="122"/>
      <c r="AC165" s="122"/>
      <c r="AD165" s="127"/>
      <c r="AE165" s="127"/>
      <c r="AF165" s="127"/>
      <c r="AG165" s="127"/>
      <c r="AH165" s="124"/>
      <c r="AI165" s="127"/>
      <c r="AJ165" s="127"/>
      <c r="AK165" s="126"/>
      <c r="AL165" s="122"/>
      <c r="AM165" s="122"/>
      <c r="AN165" s="122"/>
      <c r="AO165" s="122"/>
      <c r="AP165" s="122"/>
      <c r="AQ165" s="124"/>
    </row>
    <row r="166" spans="1:43" ht="15.75" customHeight="1">
      <c r="A166" s="122"/>
      <c r="B166" s="122"/>
      <c r="C166" s="122"/>
      <c r="D166" s="122"/>
      <c r="E166" s="122"/>
      <c r="F166" s="122"/>
      <c r="G166" s="122"/>
      <c r="H166" s="122"/>
      <c r="I166" s="122"/>
      <c r="J166" s="122"/>
      <c r="K166" s="122"/>
      <c r="L166" s="122"/>
      <c r="M166" s="123"/>
      <c r="N166" s="123"/>
      <c r="O166" s="122"/>
      <c r="P166" s="124"/>
      <c r="Q166" s="122"/>
      <c r="R166" s="122"/>
      <c r="S166" s="122"/>
      <c r="T166" s="122"/>
      <c r="U166" s="122"/>
      <c r="V166" s="124"/>
      <c r="W166" s="125"/>
      <c r="X166" s="122"/>
      <c r="Y166" s="122"/>
      <c r="Z166" s="122"/>
      <c r="AA166" s="126"/>
      <c r="AB166" s="122"/>
      <c r="AC166" s="122"/>
      <c r="AD166" s="127"/>
      <c r="AE166" s="127"/>
      <c r="AF166" s="127"/>
      <c r="AG166" s="127"/>
      <c r="AH166" s="124"/>
      <c r="AI166" s="127"/>
      <c r="AJ166" s="127"/>
      <c r="AK166" s="126"/>
      <c r="AL166" s="122"/>
      <c r="AM166" s="122"/>
      <c r="AN166" s="122"/>
      <c r="AO166" s="122"/>
      <c r="AP166" s="122"/>
      <c r="AQ166" s="124"/>
    </row>
    <row r="167" spans="1:43" ht="15.75" customHeight="1">
      <c r="A167" s="122"/>
      <c r="B167" s="122"/>
      <c r="C167" s="122"/>
      <c r="D167" s="122"/>
      <c r="E167" s="122"/>
      <c r="F167" s="122"/>
      <c r="G167" s="122"/>
      <c r="H167" s="122"/>
      <c r="I167" s="122"/>
      <c r="J167" s="122"/>
      <c r="K167" s="122"/>
      <c r="L167" s="122"/>
      <c r="M167" s="123"/>
      <c r="N167" s="123"/>
      <c r="O167" s="122"/>
      <c r="P167" s="124"/>
      <c r="Q167" s="122"/>
      <c r="R167" s="122"/>
      <c r="S167" s="122"/>
      <c r="T167" s="122"/>
      <c r="U167" s="122"/>
      <c r="V167" s="124"/>
      <c r="W167" s="125"/>
      <c r="X167" s="122"/>
      <c r="Y167" s="122"/>
      <c r="Z167" s="122"/>
      <c r="AA167" s="126"/>
      <c r="AB167" s="122"/>
      <c r="AC167" s="122"/>
      <c r="AD167" s="127"/>
      <c r="AE167" s="127"/>
      <c r="AF167" s="127"/>
      <c r="AG167" s="127"/>
      <c r="AH167" s="124"/>
      <c r="AI167" s="127"/>
      <c r="AJ167" s="127"/>
      <c r="AK167" s="126"/>
      <c r="AL167" s="122"/>
      <c r="AM167" s="122"/>
      <c r="AN167" s="122"/>
      <c r="AO167" s="122"/>
      <c r="AP167" s="122"/>
      <c r="AQ167" s="124"/>
    </row>
    <row r="168" spans="1:43" ht="15.75" customHeight="1">
      <c r="A168" s="122"/>
      <c r="B168" s="122"/>
      <c r="C168" s="122"/>
      <c r="D168" s="122"/>
      <c r="E168" s="122"/>
      <c r="F168" s="122"/>
      <c r="G168" s="122"/>
      <c r="H168" s="122"/>
      <c r="I168" s="122"/>
      <c r="J168" s="122"/>
      <c r="K168" s="122"/>
      <c r="L168" s="122"/>
      <c r="M168" s="123"/>
      <c r="N168" s="123"/>
      <c r="O168" s="122"/>
      <c r="P168" s="124"/>
      <c r="Q168" s="122"/>
      <c r="R168" s="122"/>
      <c r="S168" s="122"/>
      <c r="T168" s="122"/>
      <c r="U168" s="122"/>
      <c r="V168" s="124"/>
      <c r="W168" s="125"/>
      <c r="X168" s="122"/>
      <c r="Y168" s="122"/>
      <c r="Z168" s="122"/>
      <c r="AA168" s="126"/>
      <c r="AB168" s="122"/>
      <c r="AC168" s="122"/>
      <c r="AD168" s="127"/>
      <c r="AE168" s="127"/>
      <c r="AF168" s="127"/>
      <c r="AG168" s="127"/>
      <c r="AH168" s="124"/>
      <c r="AI168" s="127"/>
      <c r="AJ168" s="127"/>
      <c r="AK168" s="126"/>
      <c r="AL168" s="122"/>
      <c r="AM168" s="122"/>
      <c r="AN168" s="122"/>
      <c r="AO168" s="122"/>
      <c r="AP168" s="122"/>
      <c r="AQ168" s="124"/>
    </row>
    <row r="169" spans="1:43" ht="15.75" customHeight="1">
      <c r="A169" s="122"/>
      <c r="B169" s="122"/>
      <c r="C169" s="122"/>
      <c r="D169" s="122"/>
      <c r="E169" s="122"/>
      <c r="F169" s="122"/>
      <c r="G169" s="122"/>
      <c r="H169" s="122"/>
      <c r="I169" s="122"/>
      <c r="J169" s="122"/>
      <c r="K169" s="122"/>
      <c r="L169" s="122"/>
      <c r="M169" s="123"/>
      <c r="N169" s="123"/>
      <c r="O169" s="122"/>
      <c r="P169" s="124"/>
      <c r="Q169" s="122"/>
      <c r="R169" s="122"/>
      <c r="S169" s="122"/>
      <c r="T169" s="122"/>
      <c r="U169" s="122"/>
      <c r="V169" s="124"/>
      <c r="W169" s="125"/>
      <c r="X169" s="122"/>
      <c r="Y169" s="122"/>
      <c r="Z169" s="122"/>
      <c r="AA169" s="126"/>
      <c r="AB169" s="122"/>
      <c r="AC169" s="122"/>
      <c r="AD169" s="127"/>
      <c r="AE169" s="127"/>
      <c r="AF169" s="127"/>
      <c r="AG169" s="127"/>
      <c r="AH169" s="124"/>
      <c r="AI169" s="127"/>
      <c r="AJ169" s="127"/>
      <c r="AK169" s="126"/>
      <c r="AL169" s="122"/>
      <c r="AM169" s="122"/>
      <c r="AN169" s="122"/>
      <c r="AO169" s="122"/>
      <c r="AP169" s="122"/>
      <c r="AQ169" s="124"/>
    </row>
    <row r="170" spans="1:43" ht="15.75" customHeight="1">
      <c r="A170" s="122"/>
      <c r="B170" s="122"/>
      <c r="C170" s="122"/>
      <c r="D170" s="122"/>
      <c r="E170" s="122"/>
      <c r="F170" s="122"/>
      <c r="G170" s="122"/>
      <c r="H170" s="122"/>
      <c r="I170" s="122"/>
      <c r="J170" s="122"/>
      <c r="K170" s="122"/>
      <c r="L170" s="122"/>
      <c r="M170" s="123"/>
      <c r="N170" s="123"/>
      <c r="O170" s="122"/>
      <c r="P170" s="124"/>
      <c r="Q170" s="122"/>
      <c r="R170" s="122"/>
      <c r="S170" s="122"/>
      <c r="T170" s="122"/>
      <c r="U170" s="122"/>
      <c r="V170" s="124"/>
      <c r="W170" s="125"/>
      <c r="X170" s="122"/>
      <c r="Y170" s="122"/>
      <c r="Z170" s="122"/>
      <c r="AA170" s="126"/>
      <c r="AB170" s="122"/>
      <c r="AC170" s="122"/>
      <c r="AD170" s="127"/>
      <c r="AE170" s="127"/>
      <c r="AF170" s="127"/>
      <c r="AG170" s="127"/>
      <c r="AH170" s="124"/>
      <c r="AI170" s="127"/>
      <c r="AJ170" s="127"/>
      <c r="AK170" s="126"/>
      <c r="AL170" s="122"/>
      <c r="AM170" s="122"/>
      <c r="AN170" s="122"/>
      <c r="AO170" s="122"/>
      <c r="AP170" s="122"/>
      <c r="AQ170" s="124"/>
    </row>
    <row r="171" spans="1:43" ht="15.75" customHeight="1">
      <c r="A171" s="122"/>
      <c r="B171" s="122"/>
      <c r="C171" s="122"/>
      <c r="D171" s="122"/>
      <c r="E171" s="122"/>
      <c r="F171" s="122"/>
      <c r="G171" s="122"/>
      <c r="H171" s="122"/>
      <c r="I171" s="122"/>
      <c r="J171" s="122"/>
      <c r="K171" s="122"/>
      <c r="L171" s="122"/>
      <c r="M171" s="123"/>
      <c r="N171" s="123"/>
      <c r="O171" s="122"/>
      <c r="P171" s="124"/>
      <c r="Q171" s="122"/>
      <c r="R171" s="122"/>
      <c r="S171" s="122"/>
      <c r="T171" s="122"/>
      <c r="U171" s="122"/>
      <c r="V171" s="124"/>
      <c r="W171" s="125"/>
      <c r="X171" s="122"/>
      <c r="Y171" s="122"/>
      <c r="Z171" s="122"/>
      <c r="AA171" s="126"/>
      <c r="AB171" s="122"/>
      <c r="AC171" s="122"/>
      <c r="AD171" s="127"/>
      <c r="AE171" s="127"/>
      <c r="AF171" s="127"/>
      <c r="AG171" s="127"/>
      <c r="AH171" s="124"/>
      <c r="AI171" s="127"/>
      <c r="AJ171" s="127"/>
      <c r="AK171" s="126"/>
      <c r="AL171" s="122"/>
      <c r="AM171" s="122"/>
      <c r="AN171" s="122"/>
      <c r="AO171" s="122"/>
      <c r="AP171" s="122"/>
      <c r="AQ171" s="124"/>
    </row>
    <row r="172" spans="1:43" ht="15.75" customHeight="1">
      <c r="A172" s="122"/>
      <c r="B172" s="122"/>
      <c r="C172" s="122"/>
      <c r="D172" s="122"/>
      <c r="E172" s="122"/>
      <c r="F172" s="122"/>
      <c r="G172" s="122"/>
      <c r="H172" s="122"/>
      <c r="I172" s="122"/>
      <c r="J172" s="122"/>
      <c r="K172" s="122"/>
      <c r="L172" s="122"/>
      <c r="M172" s="123"/>
      <c r="N172" s="123"/>
      <c r="O172" s="122"/>
      <c r="P172" s="124"/>
      <c r="Q172" s="122"/>
      <c r="R172" s="122"/>
      <c r="S172" s="122"/>
      <c r="T172" s="122"/>
      <c r="U172" s="122"/>
      <c r="V172" s="124"/>
      <c r="W172" s="125"/>
      <c r="X172" s="122"/>
      <c r="Y172" s="122"/>
      <c r="Z172" s="122"/>
      <c r="AA172" s="126"/>
      <c r="AB172" s="122"/>
      <c r="AC172" s="122"/>
      <c r="AD172" s="127"/>
      <c r="AE172" s="127"/>
      <c r="AF172" s="127"/>
      <c r="AG172" s="127"/>
      <c r="AH172" s="124"/>
      <c r="AI172" s="127"/>
      <c r="AJ172" s="127"/>
      <c r="AK172" s="126"/>
      <c r="AL172" s="122"/>
      <c r="AM172" s="122"/>
      <c r="AN172" s="122"/>
      <c r="AO172" s="122"/>
      <c r="AP172" s="122"/>
      <c r="AQ172" s="124"/>
    </row>
    <row r="173" spans="1:43" ht="15.75" customHeight="1">
      <c r="A173" s="122"/>
      <c r="B173" s="122"/>
      <c r="C173" s="122"/>
      <c r="D173" s="122"/>
      <c r="E173" s="122"/>
      <c r="F173" s="122"/>
      <c r="G173" s="122"/>
      <c r="H173" s="122"/>
      <c r="I173" s="122"/>
      <c r="J173" s="122"/>
      <c r="K173" s="122"/>
      <c r="L173" s="122"/>
      <c r="M173" s="123"/>
      <c r="N173" s="123"/>
      <c r="O173" s="122"/>
      <c r="P173" s="124"/>
      <c r="Q173" s="122"/>
      <c r="R173" s="122"/>
      <c r="S173" s="122"/>
      <c r="T173" s="122"/>
      <c r="U173" s="122"/>
      <c r="V173" s="124"/>
      <c r="W173" s="125"/>
      <c r="X173" s="122"/>
      <c r="Y173" s="122"/>
      <c r="Z173" s="122"/>
      <c r="AA173" s="126"/>
      <c r="AB173" s="122"/>
      <c r="AC173" s="122"/>
      <c r="AD173" s="127"/>
      <c r="AE173" s="127"/>
      <c r="AF173" s="127"/>
      <c r="AG173" s="127"/>
      <c r="AH173" s="124"/>
      <c r="AI173" s="127"/>
      <c r="AJ173" s="127"/>
      <c r="AK173" s="126"/>
      <c r="AL173" s="122"/>
      <c r="AM173" s="122"/>
      <c r="AN173" s="122"/>
      <c r="AO173" s="122"/>
      <c r="AP173" s="122"/>
      <c r="AQ173" s="124"/>
    </row>
    <row r="174" spans="1:43" ht="15.75" customHeight="1">
      <c r="A174" s="122"/>
      <c r="B174" s="122"/>
      <c r="C174" s="122"/>
      <c r="D174" s="122"/>
      <c r="E174" s="122"/>
      <c r="F174" s="122"/>
      <c r="G174" s="122"/>
      <c r="H174" s="122"/>
      <c r="I174" s="122"/>
      <c r="J174" s="122"/>
      <c r="K174" s="122"/>
      <c r="L174" s="122"/>
      <c r="M174" s="123"/>
      <c r="N174" s="123"/>
      <c r="O174" s="122"/>
      <c r="P174" s="124"/>
      <c r="Q174" s="122"/>
      <c r="R174" s="122"/>
      <c r="S174" s="122"/>
      <c r="T174" s="122"/>
      <c r="U174" s="122"/>
      <c r="V174" s="124"/>
      <c r="W174" s="125"/>
      <c r="X174" s="122"/>
      <c r="Y174" s="122"/>
      <c r="Z174" s="122"/>
      <c r="AA174" s="126"/>
      <c r="AB174" s="122"/>
      <c r="AC174" s="122"/>
      <c r="AD174" s="127"/>
      <c r="AE174" s="127"/>
      <c r="AF174" s="127"/>
      <c r="AG174" s="127"/>
      <c r="AH174" s="124"/>
      <c r="AI174" s="127"/>
      <c r="AJ174" s="127"/>
      <c r="AK174" s="126"/>
      <c r="AL174" s="122"/>
      <c r="AM174" s="122"/>
      <c r="AN174" s="122"/>
      <c r="AO174" s="122"/>
      <c r="AP174" s="122"/>
      <c r="AQ174" s="124"/>
    </row>
    <row r="175" spans="1:43" ht="15.75" customHeight="1">
      <c r="A175" s="122"/>
      <c r="B175" s="122"/>
      <c r="C175" s="122"/>
      <c r="D175" s="122"/>
      <c r="E175" s="122"/>
      <c r="F175" s="122"/>
      <c r="G175" s="122"/>
      <c r="H175" s="122"/>
      <c r="I175" s="122"/>
      <c r="J175" s="122"/>
      <c r="K175" s="122"/>
      <c r="L175" s="122"/>
      <c r="M175" s="123"/>
      <c r="N175" s="123"/>
      <c r="O175" s="122"/>
      <c r="P175" s="124"/>
      <c r="Q175" s="122"/>
      <c r="R175" s="122"/>
      <c r="S175" s="122"/>
      <c r="T175" s="122"/>
      <c r="U175" s="122"/>
      <c r="V175" s="124"/>
      <c r="W175" s="125"/>
      <c r="X175" s="122"/>
      <c r="Y175" s="122"/>
      <c r="Z175" s="122"/>
      <c r="AA175" s="126"/>
      <c r="AB175" s="122"/>
      <c r="AC175" s="122"/>
      <c r="AD175" s="127"/>
      <c r="AE175" s="127"/>
      <c r="AF175" s="127"/>
      <c r="AG175" s="127"/>
      <c r="AH175" s="124"/>
      <c r="AI175" s="127"/>
      <c r="AJ175" s="127"/>
      <c r="AK175" s="126"/>
      <c r="AL175" s="122"/>
      <c r="AM175" s="122"/>
      <c r="AN175" s="122"/>
      <c r="AO175" s="122"/>
      <c r="AP175" s="122"/>
      <c r="AQ175" s="124"/>
    </row>
    <row r="176" spans="1:43" ht="15.75" customHeight="1">
      <c r="A176" s="122"/>
      <c r="B176" s="122"/>
      <c r="C176" s="122"/>
      <c r="D176" s="122"/>
      <c r="E176" s="122"/>
      <c r="F176" s="122"/>
      <c r="G176" s="122"/>
      <c r="H176" s="122"/>
      <c r="I176" s="122"/>
      <c r="J176" s="122"/>
      <c r="K176" s="122"/>
      <c r="L176" s="122"/>
      <c r="M176" s="123"/>
      <c r="N176" s="123"/>
      <c r="O176" s="122"/>
      <c r="P176" s="124"/>
      <c r="Q176" s="122"/>
      <c r="R176" s="122"/>
      <c r="S176" s="122"/>
      <c r="T176" s="122"/>
      <c r="U176" s="122"/>
      <c r="V176" s="124"/>
      <c r="W176" s="125"/>
      <c r="X176" s="122"/>
      <c r="Y176" s="122"/>
      <c r="Z176" s="122"/>
      <c r="AA176" s="126"/>
      <c r="AB176" s="122"/>
      <c r="AC176" s="122"/>
      <c r="AD176" s="127"/>
      <c r="AE176" s="127"/>
      <c r="AF176" s="127"/>
      <c r="AG176" s="127"/>
      <c r="AH176" s="124"/>
      <c r="AI176" s="127"/>
      <c r="AJ176" s="127"/>
      <c r="AK176" s="126"/>
      <c r="AL176" s="122"/>
      <c r="AM176" s="122"/>
      <c r="AN176" s="122"/>
      <c r="AO176" s="122"/>
      <c r="AP176" s="122"/>
      <c r="AQ176" s="124"/>
    </row>
    <row r="177" spans="1:43" ht="15.75" customHeight="1">
      <c r="A177" s="122"/>
      <c r="B177" s="122"/>
      <c r="C177" s="122"/>
      <c r="D177" s="122"/>
      <c r="E177" s="122"/>
      <c r="F177" s="122"/>
      <c r="G177" s="122"/>
      <c r="H177" s="122"/>
      <c r="I177" s="122"/>
      <c r="J177" s="122"/>
      <c r="K177" s="122"/>
      <c r="L177" s="122"/>
      <c r="M177" s="123"/>
      <c r="N177" s="123"/>
      <c r="O177" s="122"/>
      <c r="P177" s="124"/>
      <c r="Q177" s="122"/>
      <c r="R177" s="122"/>
      <c r="S177" s="122"/>
      <c r="T177" s="122"/>
      <c r="U177" s="122"/>
      <c r="V177" s="124"/>
      <c r="W177" s="125"/>
      <c r="X177" s="122"/>
      <c r="Y177" s="122"/>
      <c r="Z177" s="122"/>
      <c r="AA177" s="126"/>
      <c r="AB177" s="122"/>
      <c r="AC177" s="122"/>
      <c r="AD177" s="127"/>
      <c r="AE177" s="127"/>
      <c r="AF177" s="127"/>
      <c r="AG177" s="127"/>
      <c r="AH177" s="124"/>
      <c r="AI177" s="127"/>
      <c r="AJ177" s="127"/>
      <c r="AK177" s="126"/>
      <c r="AL177" s="122"/>
      <c r="AM177" s="122"/>
      <c r="AN177" s="122"/>
      <c r="AO177" s="122"/>
      <c r="AP177" s="122"/>
      <c r="AQ177" s="124"/>
    </row>
    <row r="178" spans="1:43" ht="15.75" customHeight="1">
      <c r="A178" s="122"/>
      <c r="B178" s="122"/>
      <c r="C178" s="122"/>
      <c r="D178" s="122"/>
      <c r="E178" s="122"/>
      <c r="F178" s="122"/>
      <c r="G178" s="122"/>
      <c r="H178" s="122"/>
      <c r="I178" s="122"/>
      <c r="J178" s="122"/>
      <c r="K178" s="122"/>
      <c r="L178" s="122"/>
      <c r="M178" s="123"/>
      <c r="N178" s="123"/>
      <c r="O178" s="122"/>
      <c r="P178" s="124"/>
      <c r="Q178" s="122"/>
      <c r="R178" s="122"/>
      <c r="S178" s="122"/>
      <c r="T178" s="122"/>
      <c r="U178" s="122"/>
      <c r="V178" s="124"/>
      <c r="W178" s="125"/>
      <c r="X178" s="122"/>
      <c r="Y178" s="122"/>
      <c r="Z178" s="122"/>
      <c r="AA178" s="126"/>
      <c r="AB178" s="122"/>
      <c r="AC178" s="122"/>
      <c r="AD178" s="127"/>
      <c r="AE178" s="127"/>
      <c r="AF178" s="127"/>
      <c r="AG178" s="127"/>
      <c r="AH178" s="124"/>
      <c r="AI178" s="127"/>
      <c r="AJ178" s="127"/>
      <c r="AK178" s="126"/>
      <c r="AL178" s="122"/>
      <c r="AM178" s="122"/>
      <c r="AN178" s="122"/>
      <c r="AO178" s="122"/>
      <c r="AP178" s="122"/>
      <c r="AQ178" s="124"/>
    </row>
    <row r="179" spans="1:43" ht="15.75" customHeight="1">
      <c r="A179" s="122"/>
      <c r="B179" s="122"/>
      <c r="C179" s="122"/>
      <c r="D179" s="122"/>
      <c r="E179" s="122"/>
      <c r="F179" s="122"/>
      <c r="G179" s="122"/>
      <c r="H179" s="122"/>
      <c r="I179" s="122"/>
      <c r="J179" s="122"/>
      <c r="K179" s="122"/>
      <c r="L179" s="122"/>
      <c r="M179" s="123"/>
      <c r="N179" s="123"/>
      <c r="O179" s="122"/>
      <c r="P179" s="124"/>
      <c r="Q179" s="122"/>
      <c r="R179" s="122"/>
      <c r="S179" s="122"/>
      <c r="T179" s="122"/>
      <c r="U179" s="122"/>
      <c r="V179" s="124"/>
      <c r="W179" s="125"/>
      <c r="X179" s="122"/>
      <c r="Y179" s="122"/>
      <c r="Z179" s="122"/>
      <c r="AA179" s="126"/>
      <c r="AB179" s="122"/>
      <c r="AC179" s="122"/>
      <c r="AD179" s="127"/>
      <c r="AE179" s="127"/>
      <c r="AF179" s="127"/>
      <c r="AG179" s="127"/>
      <c r="AH179" s="124"/>
      <c r="AI179" s="127"/>
      <c r="AJ179" s="127"/>
      <c r="AK179" s="126"/>
      <c r="AL179" s="122"/>
      <c r="AM179" s="122"/>
      <c r="AN179" s="122"/>
      <c r="AO179" s="122"/>
      <c r="AP179" s="122"/>
      <c r="AQ179" s="124"/>
    </row>
    <row r="180" spans="1:43" ht="15.75" customHeight="1">
      <c r="A180" s="122"/>
      <c r="B180" s="122"/>
      <c r="C180" s="122"/>
      <c r="D180" s="122"/>
      <c r="E180" s="122"/>
      <c r="F180" s="122"/>
      <c r="G180" s="122"/>
      <c r="H180" s="122"/>
      <c r="I180" s="122"/>
      <c r="J180" s="122"/>
      <c r="K180" s="122"/>
      <c r="L180" s="122"/>
      <c r="M180" s="123"/>
      <c r="N180" s="123"/>
      <c r="O180" s="122"/>
      <c r="P180" s="124"/>
      <c r="Q180" s="122"/>
      <c r="R180" s="122"/>
      <c r="S180" s="122"/>
      <c r="T180" s="122"/>
      <c r="U180" s="122"/>
      <c r="V180" s="124"/>
      <c r="W180" s="125"/>
      <c r="X180" s="122"/>
      <c r="Y180" s="122"/>
      <c r="Z180" s="122"/>
      <c r="AA180" s="126"/>
      <c r="AB180" s="122"/>
      <c r="AC180" s="122"/>
      <c r="AD180" s="127"/>
      <c r="AE180" s="127"/>
      <c r="AF180" s="127"/>
      <c r="AG180" s="127"/>
      <c r="AH180" s="124"/>
      <c r="AI180" s="127"/>
      <c r="AJ180" s="127"/>
      <c r="AK180" s="126"/>
      <c r="AL180" s="122"/>
      <c r="AM180" s="122"/>
      <c r="AN180" s="122"/>
      <c r="AO180" s="122"/>
      <c r="AP180" s="122"/>
      <c r="AQ180" s="124"/>
    </row>
    <row r="181" spans="1:43" ht="15.75" customHeight="1">
      <c r="A181" s="122"/>
      <c r="B181" s="122"/>
      <c r="C181" s="122"/>
      <c r="D181" s="122"/>
      <c r="E181" s="122"/>
      <c r="F181" s="122"/>
      <c r="G181" s="122"/>
      <c r="H181" s="122"/>
      <c r="I181" s="122"/>
      <c r="J181" s="122"/>
      <c r="K181" s="122"/>
      <c r="L181" s="122"/>
      <c r="M181" s="123"/>
      <c r="N181" s="123"/>
      <c r="O181" s="122"/>
      <c r="P181" s="124"/>
      <c r="Q181" s="122"/>
      <c r="R181" s="122"/>
      <c r="S181" s="122"/>
      <c r="T181" s="122"/>
      <c r="U181" s="122"/>
      <c r="V181" s="124"/>
      <c r="W181" s="125"/>
      <c r="X181" s="122"/>
      <c r="Y181" s="122"/>
      <c r="Z181" s="122"/>
      <c r="AA181" s="126"/>
      <c r="AB181" s="122"/>
      <c r="AC181" s="122"/>
      <c r="AD181" s="127"/>
      <c r="AE181" s="127"/>
      <c r="AF181" s="127"/>
      <c r="AG181" s="127"/>
      <c r="AH181" s="124"/>
      <c r="AI181" s="127"/>
      <c r="AJ181" s="127"/>
      <c r="AK181" s="126"/>
      <c r="AL181" s="122"/>
      <c r="AM181" s="122"/>
      <c r="AN181" s="122"/>
      <c r="AO181" s="122"/>
      <c r="AP181" s="122"/>
      <c r="AQ181" s="124"/>
    </row>
    <row r="182" spans="1:43" ht="15.75" customHeight="1">
      <c r="A182" s="122"/>
      <c r="B182" s="122"/>
      <c r="C182" s="122"/>
      <c r="D182" s="122"/>
      <c r="E182" s="122"/>
      <c r="F182" s="122"/>
      <c r="G182" s="122"/>
      <c r="H182" s="122"/>
      <c r="I182" s="122"/>
      <c r="J182" s="122"/>
      <c r="K182" s="122"/>
      <c r="L182" s="122"/>
      <c r="M182" s="123"/>
      <c r="N182" s="123"/>
      <c r="O182" s="122"/>
      <c r="P182" s="124"/>
      <c r="Q182" s="122"/>
      <c r="R182" s="122"/>
      <c r="S182" s="122"/>
      <c r="T182" s="122"/>
      <c r="U182" s="122"/>
      <c r="V182" s="124"/>
      <c r="W182" s="125"/>
      <c r="X182" s="122"/>
      <c r="Y182" s="122"/>
      <c r="Z182" s="122"/>
      <c r="AA182" s="126"/>
      <c r="AB182" s="122"/>
      <c r="AC182" s="122"/>
      <c r="AD182" s="127"/>
      <c r="AE182" s="127"/>
      <c r="AF182" s="127"/>
      <c r="AG182" s="127"/>
      <c r="AH182" s="124"/>
      <c r="AI182" s="127"/>
      <c r="AJ182" s="127"/>
      <c r="AK182" s="126"/>
      <c r="AL182" s="122"/>
      <c r="AM182" s="122"/>
      <c r="AN182" s="122"/>
      <c r="AO182" s="122"/>
      <c r="AP182" s="122"/>
      <c r="AQ182" s="124"/>
    </row>
    <row r="183" spans="1:43" ht="15.75" customHeight="1">
      <c r="A183" s="122"/>
      <c r="B183" s="122"/>
      <c r="C183" s="122"/>
      <c r="D183" s="122"/>
      <c r="E183" s="122"/>
      <c r="F183" s="122"/>
      <c r="G183" s="122"/>
      <c r="H183" s="122"/>
      <c r="I183" s="122"/>
      <c r="J183" s="122"/>
      <c r="K183" s="122"/>
      <c r="L183" s="122"/>
      <c r="M183" s="123"/>
      <c r="N183" s="123"/>
      <c r="O183" s="122"/>
      <c r="P183" s="124"/>
      <c r="Q183" s="122"/>
      <c r="R183" s="122"/>
      <c r="S183" s="122"/>
      <c r="T183" s="122"/>
      <c r="U183" s="122"/>
      <c r="V183" s="124"/>
      <c r="W183" s="125"/>
      <c r="X183" s="122"/>
      <c r="Y183" s="122"/>
      <c r="Z183" s="122"/>
      <c r="AA183" s="126"/>
      <c r="AB183" s="122"/>
      <c r="AC183" s="122"/>
      <c r="AD183" s="127"/>
      <c r="AE183" s="127"/>
      <c r="AF183" s="127"/>
      <c r="AG183" s="127"/>
      <c r="AH183" s="124"/>
      <c r="AI183" s="127"/>
      <c r="AJ183" s="127"/>
      <c r="AK183" s="126"/>
      <c r="AL183" s="122"/>
      <c r="AM183" s="122"/>
      <c r="AN183" s="122"/>
      <c r="AO183" s="122"/>
      <c r="AP183" s="122"/>
      <c r="AQ183" s="124"/>
    </row>
    <row r="184" spans="1:43" ht="15.75" customHeight="1">
      <c r="A184" s="122"/>
      <c r="B184" s="122"/>
      <c r="C184" s="122"/>
      <c r="D184" s="122"/>
      <c r="E184" s="122"/>
      <c r="F184" s="122"/>
      <c r="G184" s="122"/>
      <c r="H184" s="122"/>
      <c r="I184" s="122"/>
      <c r="J184" s="122"/>
      <c r="K184" s="122"/>
      <c r="L184" s="122"/>
      <c r="M184" s="123"/>
      <c r="N184" s="123"/>
      <c r="O184" s="122"/>
      <c r="P184" s="124"/>
      <c r="Q184" s="122"/>
      <c r="R184" s="122"/>
      <c r="S184" s="122"/>
      <c r="T184" s="122"/>
      <c r="U184" s="122"/>
      <c r="V184" s="124"/>
      <c r="W184" s="125"/>
      <c r="X184" s="122"/>
      <c r="Y184" s="122"/>
      <c r="Z184" s="122"/>
      <c r="AA184" s="126"/>
      <c r="AB184" s="122"/>
      <c r="AC184" s="122"/>
      <c r="AD184" s="127"/>
      <c r="AE184" s="127"/>
      <c r="AF184" s="127"/>
      <c r="AG184" s="127"/>
      <c r="AH184" s="124"/>
      <c r="AI184" s="127"/>
      <c r="AJ184" s="127"/>
      <c r="AK184" s="126"/>
      <c r="AL184" s="122"/>
      <c r="AM184" s="122"/>
      <c r="AN184" s="122"/>
      <c r="AO184" s="122"/>
      <c r="AP184" s="122"/>
      <c r="AQ184" s="124"/>
    </row>
    <row r="185" spans="1:43" ht="15.75" customHeight="1">
      <c r="A185" s="122"/>
      <c r="B185" s="122"/>
      <c r="C185" s="122"/>
      <c r="D185" s="122"/>
      <c r="E185" s="122"/>
      <c r="F185" s="122"/>
      <c r="G185" s="122"/>
      <c r="H185" s="122"/>
      <c r="I185" s="122"/>
      <c r="J185" s="122"/>
      <c r="K185" s="122"/>
      <c r="L185" s="122"/>
      <c r="M185" s="123"/>
      <c r="N185" s="123"/>
      <c r="O185" s="122"/>
      <c r="P185" s="124"/>
      <c r="Q185" s="122"/>
      <c r="R185" s="122"/>
      <c r="S185" s="122"/>
      <c r="T185" s="122"/>
      <c r="U185" s="122"/>
      <c r="V185" s="124"/>
      <c r="W185" s="125"/>
      <c r="X185" s="122"/>
      <c r="Y185" s="122"/>
      <c r="Z185" s="122"/>
      <c r="AA185" s="126"/>
      <c r="AB185" s="122"/>
      <c r="AC185" s="122"/>
      <c r="AD185" s="127"/>
      <c r="AE185" s="127"/>
      <c r="AF185" s="127"/>
      <c r="AG185" s="127"/>
      <c r="AH185" s="124"/>
      <c r="AI185" s="127"/>
      <c r="AJ185" s="127"/>
      <c r="AK185" s="126"/>
      <c r="AL185" s="122"/>
      <c r="AM185" s="122"/>
      <c r="AN185" s="122"/>
      <c r="AO185" s="122"/>
      <c r="AP185" s="122"/>
      <c r="AQ185" s="124"/>
    </row>
    <row r="186" spans="1:43" ht="15.75" customHeight="1">
      <c r="A186" s="122"/>
      <c r="B186" s="122"/>
      <c r="C186" s="122"/>
      <c r="D186" s="122"/>
      <c r="E186" s="122"/>
      <c r="F186" s="122"/>
      <c r="G186" s="122"/>
      <c r="H186" s="122"/>
      <c r="I186" s="122"/>
      <c r="J186" s="122"/>
      <c r="K186" s="122"/>
      <c r="L186" s="122"/>
      <c r="M186" s="123"/>
      <c r="N186" s="123"/>
      <c r="O186" s="122"/>
      <c r="P186" s="124"/>
      <c r="Q186" s="122"/>
      <c r="R186" s="122"/>
      <c r="S186" s="122"/>
      <c r="T186" s="122"/>
      <c r="U186" s="122"/>
      <c r="V186" s="124"/>
      <c r="W186" s="125"/>
      <c r="X186" s="122"/>
      <c r="Y186" s="122"/>
      <c r="Z186" s="122"/>
      <c r="AA186" s="126"/>
      <c r="AB186" s="122"/>
      <c r="AC186" s="122"/>
      <c r="AD186" s="127"/>
      <c r="AE186" s="127"/>
      <c r="AF186" s="127"/>
      <c r="AG186" s="127"/>
      <c r="AH186" s="124"/>
      <c r="AI186" s="127"/>
      <c r="AJ186" s="127"/>
      <c r="AK186" s="126"/>
      <c r="AL186" s="122"/>
      <c r="AM186" s="122"/>
      <c r="AN186" s="122"/>
      <c r="AO186" s="122"/>
      <c r="AP186" s="122"/>
      <c r="AQ186" s="124"/>
    </row>
    <row r="187" spans="1:43" ht="15.75" customHeight="1">
      <c r="A187" s="122"/>
      <c r="B187" s="122"/>
      <c r="C187" s="122"/>
      <c r="D187" s="122"/>
      <c r="E187" s="122"/>
      <c r="F187" s="122"/>
      <c r="G187" s="122"/>
      <c r="H187" s="122"/>
      <c r="I187" s="122"/>
      <c r="J187" s="122"/>
      <c r="K187" s="122"/>
      <c r="L187" s="122"/>
      <c r="M187" s="123"/>
      <c r="N187" s="123"/>
      <c r="O187" s="122"/>
      <c r="P187" s="124"/>
      <c r="Q187" s="122"/>
      <c r="R187" s="122"/>
      <c r="S187" s="122"/>
      <c r="T187" s="122"/>
      <c r="U187" s="122"/>
      <c r="V187" s="124"/>
      <c r="W187" s="125"/>
      <c r="X187" s="122"/>
      <c r="Y187" s="122"/>
      <c r="Z187" s="122"/>
      <c r="AA187" s="126"/>
      <c r="AB187" s="122"/>
      <c r="AC187" s="122"/>
      <c r="AD187" s="127"/>
      <c r="AE187" s="127"/>
      <c r="AF187" s="127"/>
      <c r="AG187" s="127"/>
      <c r="AH187" s="124"/>
      <c r="AI187" s="127"/>
      <c r="AJ187" s="127"/>
      <c r="AK187" s="126"/>
      <c r="AL187" s="122"/>
      <c r="AM187" s="122"/>
      <c r="AN187" s="122"/>
      <c r="AO187" s="122"/>
      <c r="AP187" s="122"/>
      <c r="AQ187" s="124"/>
    </row>
    <row r="188" spans="1:43" ht="15.75" customHeight="1">
      <c r="A188" s="122"/>
      <c r="B188" s="122"/>
      <c r="C188" s="122"/>
      <c r="D188" s="122"/>
      <c r="E188" s="122"/>
      <c r="F188" s="122"/>
      <c r="G188" s="122"/>
      <c r="H188" s="122"/>
      <c r="I188" s="122"/>
      <c r="J188" s="122"/>
      <c r="K188" s="122"/>
      <c r="L188" s="122"/>
      <c r="M188" s="123"/>
      <c r="N188" s="123"/>
      <c r="O188" s="122"/>
      <c r="P188" s="124"/>
      <c r="Q188" s="122"/>
      <c r="R188" s="122"/>
      <c r="S188" s="122"/>
      <c r="T188" s="122"/>
      <c r="U188" s="122"/>
      <c r="V188" s="124"/>
      <c r="W188" s="125"/>
      <c r="X188" s="122"/>
      <c r="Y188" s="122"/>
      <c r="Z188" s="122"/>
      <c r="AA188" s="126"/>
      <c r="AB188" s="122"/>
      <c r="AC188" s="122"/>
      <c r="AD188" s="127"/>
      <c r="AE188" s="127"/>
      <c r="AF188" s="127"/>
      <c r="AG188" s="127"/>
      <c r="AH188" s="124"/>
      <c r="AI188" s="127"/>
      <c r="AJ188" s="127"/>
      <c r="AK188" s="126"/>
      <c r="AL188" s="122"/>
      <c r="AM188" s="122"/>
      <c r="AN188" s="122"/>
      <c r="AO188" s="122"/>
      <c r="AP188" s="122"/>
      <c r="AQ188" s="124"/>
    </row>
    <row r="189" spans="1:43" ht="15.75" customHeight="1">
      <c r="A189" s="122"/>
      <c r="B189" s="122"/>
      <c r="C189" s="122"/>
      <c r="D189" s="122"/>
      <c r="E189" s="122"/>
      <c r="F189" s="122"/>
      <c r="G189" s="122"/>
      <c r="H189" s="122"/>
      <c r="I189" s="122"/>
      <c r="J189" s="122"/>
      <c r="K189" s="122"/>
      <c r="L189" s="122"/>
      <c r="M189" s="123"/>
      <c r="N189" s="123"/>
      <c r="O189" s="122"/>
      <c r="P189" s="124"/>
      <c r="Q189" s="122"/>
      <c r="R189" s="122"/>
      <c r="S189" s="122"/>
      <c r="T189" s="122"/>
      <c r="U189" s="122"/>
      <c r="V189" s="124"/>
      <c r="W189" s="125"/>
      <c r="X189" s="122"/>
      <c r="Y189" s="122"/>
      <c r="Z189" s="122"/>
      <c r="AA189" s="126"/>
      <c r="AB189" s="122"/>
      <c r="AC189" s="122"/>
      <c r="AD189" s="127"/>
      <c r="AE189" s="127"/>
      <c r="AF189" s="127"/>
      <c r="AG189" s="127"/>
      <c r="AH189" s="124"/>
      <c r="AI189" s="127"/>
      <c r="AJ189" s="127"/>
      <c r="AK189" s="126"/>
      <c r="AL189" s="122"/>
      <c r="AM189" s="122"/>
      <c r="AN189" s="122"/>
      <c r="AO189" s="122"/>
      <c r="AP189" s="122"/>
      <c r="AQ189" s="124"/>
    </row>
    <row r="190" spans="1:43" ht="15.75" customHeight="1">
      <c r="A190" s="122"/>
      <c r="B190" s="122"/>
      <c r="C190" s="122"/>
      <c r="D190" s="122"/>
      <c r="E190" s="122"/>
      <c r="F190" s="122"/>
      <c r="G190" s="122"/>
      <c r="H190" s="122"/>
      <c r="I190" s="122"/>
      <c r="J190" s="122"/>
      <c r="K190" s="122"/>
      <c r="L190" s="122"/>
      <c r="M190" s="123"/>
      <c r="N190" s="123"/>
      <c r="O190" s="122"/>
      <c r="P190" s="124"/>
      <c r="Q190" s="122"/>
      <c r="R190" s="122"/>
      <c r="S190" s="122"/>
      <c r="T190" s="122"/>
      <c r="U190" s="122"/>
      <c r="V190" s="124"/>
      <c r="W190" s="125"/>
      <c r="X190" s="122"/>
      <c r="Y190" s="122"/>
      <c r="Z190" s="122"/>
      <c r="AA190" s="126"/>
      <c r="AB190" s="122"/>
      <c r="AC190" s="122"/>
      <c r="AD190" s="127"/>
      <c r="AE190" s="127"/>
      <c r="AF190" s="127"/>
      <c r="AG190" s="127"/>
      <c r="AH190" s="124"/>
      <c r="AI190" s="127"/>
      <c r="AJ190" s="127"/>
      <c r="AK190" s="126"/>
      <c r="AL190" s="122"/>
      <c r="AM190" s="122"/>
      <c r="AN190" s="122"/>
      <c r="AO190" s="122"/>
      <c r="AP190" s="122"/>
      <c r="AQ190" s="124"/>
    </row>
    <row r="191" spans="1:43" ht="15.75" customHeight="1">
      <c r="A191" s="122"/>
      <c r="B191" s="122"/>
      <c r="C191" s="122"/>
      <c r="D191" s="122"/>
      <c r="E191" s="122"/>
      <c r="F191" s="122"/>
      <c r="G191" s="122"/>
      <c r="H191" s="122"/>
      <c r="I191" s="122"/>
      <c r="J191" s="122"/>
      <c r="K191" s="122"/>
      <c r="L191" s="122"/>
      <c r="M191" s="123"/>
      <c r="N191" s="123"/>
      <c r="O191" s="122"/>
      <c r="P191" s="124"/>
      <c r="Q191" s="122"/>
      <c r="R191" s="122"/>
      <c r="S191" s="122"/>
      <c r="T191" s="122"/>
      <c r="U191" s="122"/>
      <c r="V191" s="124"/>
      <c r="W191" s="125"/>
      <c r="X191" s="122"/>
      <c r="Y191" s="122"/>
      <c r="Z191" s="122"/>
      <c r="AA191" s="126"/>
      <c r="AB191" s="122"/>
      <c r="AC191" s="122"/>
      <c r="AD191" s="127"/>
      <c r="AE191" s="127"/>
      <c r="AF191" s="127"/>
      <c r="AG191" s="127"/>
      <c r="AH191" s="124"/>
      <c r="AI191" s="127"/>
      <c r="AJ191" s="127"/>
      <c r="AK191" s="126"/>
      <c r="AL191" s="122"/>
      <c r="AM191" s="122"/>
      <c r="AN191" s="122"/>
      <c r="AO191" s="122"/>
      <c r="AP191" s="122"/>
      <c r="AQ191" s="124"/>
    </row>
    <row r="192" spans="1:43" ht="15.75" customHeight="1">
      <c r="A192" s="122"/>
      <c r="B192" s="122"/>
      <c r="C192" s="122"/>
      <c r="D192" s="122"/>
      <c r="E192" s="122"/>
      <c r="F192" s="122"/>
      <c r="G192" s="122"/>
      <c r="H192" s="122"/>
      <c r="I192" s="122"/>
      <c r="J192" s="122"/>
      <c r="K192" s="122"/>
      <c r="L192" s="122"/>
      <c r="M192" s="123"/>
      <c r="N192" s="123"/>
      <c r="O192" s="122"/>
      <c r="P192" s="124"/>
      <c r="Q192" s="122"/>
      <c r="R192" s="122"/>
      <c r="S192" s="122"/>
      <c r="T192" s="122"/>
      <c r="U192" s="122"/>
      <c r="V192" s="124"/>
      <c r="W192" s="125"/>
      <c r="X192" s="122"/>
      <c r="Y192" s="122"/>
      <c r="Z192" s="122"/>
      <c r="AA192" s="126"/>
      <c r="AB192" s="122"/>
      <c r="AC192" s="122"/>
      <c r="AD192" s="127"/>
      <c r="AE192" s="127"/>
      <c r="AF192" s="127"/>
      <c r="AG192" s="127"/>
      <c r="AH192" s="124"/>
      <c r="AI192" s="127"/>
      <c r="AJ192" s="127"/>
      <c r="AK192" s="126"/>
      <c r="AL192" s="122"/>
      <c r="AM192" s="122"/>
      <c r="AN192" s="122"/>
      <c r="AO192" s="122"/>
      <c r="AP192" s="122"/>
      <c r="AQ192" s="124"/>
    </row>
    <row r="193" spans="1:43" ht="15.75" customHeight="1">
      <c r="A193" s="122"/>
      <c r="B193" s="122"/>
      <c r="C193" s="122"/>
      <c r="D193" s="122"/>
      <c r="E193" s="122"/>
      <c r="F193" s="122"/>
      <c r="G193" s="122"/>
      <c r="H193" s="122"/>
      <c r="I193" s="122"/>
      <c r="J193" s="122"/>
      <c r="K193" s="122"/>
      <c r="L193" s="122"/>
      <c r="M193" s="123"/>
      <c r="N193" s="123"/>
      <c r="O193" s="122"/>
      <c r="P193" s="124"/>
      <c r="Q193" s="122"/>
      <c r="R193" s="122"/>
      <c r="S193" s="122"/>
      <c r="T193" s="122"/>
      <c r="U193" s="122"/>
      <c r="V193" s="124"/>
      <c r="W193" s="125"/>
      <c r="X193" s="122"/>
      <c r="Y193" s="122"/>
      <c r="Z193" s="122"/>
      <c r="AA193" s="126"/>
      <c r="AB193" s="122"/>
      <c r="AC193" s="122"/>
      <c r="AD193" s="127"/>
      <c r="AE193" s="127"/>
      <c r="AF193" s="127"/>
      <c r="AG193" s="127"/>
      <c r="AH193" s="124"/>
      <c r="AI193" s="127"/>
      <c r="AJ193" s="127"/>
      <c r="AK193" s="126"/>
      <c r="AL193" s="122"/>
      <c r="AM193" s="122"/>
      <c r="AN193" s="122"/>
      <c r="AO193" s="122"/>
      <c r="AP193" s="122"/>
      <c r="AQ193" s="124"/>
    </row>
    <row r="194" spans="1:43" ht="15.75" customHeight="1">
      <c r="A194" s="122"/>
      <c r="B194" s="122"/>
      <c r="C194" s="122"/>
      <c r="D194" s="122"/>
      <c r="E194" s="122"/>
      <c r="F194" s="122"/>
      <c r="G194" s="122"/>
      <c r="H194" s="122"/>
      <c r="I194" s="122"/>
      <c r="J194" s="122"/>
      <c r="K194" s="122"/>
      <c r="L194" s="122"/>
      <c r="M194" s="123"/>
      <c r="N194" s="123"/>
      <c r="O194" s="122"/>
      <c r="P194" s="124"/>
      <c r="Q194" s="122"/>
      <c r="R194" s="122"/>
      <c r="S194" s="122"/>
      <c r="T194" s="122"/>
      <c r="U194" s="122"/>
      <c r="V194" s="124"/>
      <c r="W194" s="125"/>
      <c r="X194" s="122"/>
      <c r="Y194" s="122"/>
      <c r="Z194" s="122"/>
      <c r="AA194" s="126"/>
      <c r="AB194" s="122"/>
      <c r="AC194" s="122"/>
      <c r="AD194" s="127"/>
      <c r="AE194" s="127"/>
      <c r="AF194" s="127"/>
      <c r="AG194" s="127"/>
      <c r="AH194" s="124"/>
      <c r="AI194" s="127"/>
      <c r="AJ194" s="127"/>
      <c r="AK194" s="126"/>
      <c r="AL194" s="122"/>
      <c r="AM194" s="122"/>
      <c r="AN194" s="122"/>
      <c r="AO194" s="122"/>
      <c r="AP194" s="122"/>
      <c r="AQ194" s="124"/>
    </row>
    <row r="195" spans="1:43" ht="15.75" customHeight="1">
      <c r="A195" s="122"/>
      <c r="B195" s="122"/>
      <c r="C195" s="122"/>
      <c r="D195" s="122"/>
      <c r="E195" s="122"/>
      <c r="F195" s="122"/>
      <c r="G195" s="122"/>
      <c r="H195" s="122"/>
      <c r="I195" s="122"/>
      <c r="J195" s="122"/>
      <c r="K195" s="122"/>
      <c r="L195" s="122"/>
      <c r="M195" s="123"/>
      <c r="N195" s="123"/>
      <c r="O195" s="122"/>
      <c r="P195" s="124"/>
      <c r="Q195" s="122"/>
      <c r="R195" s="122"/>
      <c r="S195" s="122"/>
      <c r="T195" s="122"/>
      <c r="U195" s="122"/>
      <c r="V195" s="124"/>
      <c r="W195" s="125"/>
      <c r="X195" s="122"/>
      <c r="Y195" s="122"/>
      <c r="Z195" s="122"/>
      <c r="AA195" s="126"/>
      <c r="AB195" s="122"/>
      <c r="AC195" s="122"/>
      <c r="AD195" s="127"/>
      <c r="AE195" s="127"/>
      <c r="AF195" s="127"/>
      <c r="AG195" s="127"/>
      <c r="AH195" s="124"/>
      <c r="AI195" s="127"/>
      <c r="AJ195" s="127"/>
      <c r="AK195" s="126"/>
      <c r="AL195" s="122"/>
      <c r="AM195" s="122"/>
      <c r="AN195" s="122"/>
      <c r="AO195" s="122"/>
      <c r="AP195" s="122"/>
      <c r="AQ195" s="124"/>
    </row>
    <row r="196" spans="1:43" ht="15.75" customHeight="1">
      <c r="A196" s="122"/>
      <c r="B196" s="122"/>
      <c r="C196" s="122"/>
      <c r="D196" s="122"/>
      <c r="E196" s="122"/>
      <c r="F196" s="122"/>
      <c r="G196" s="122"/>
      <c r="H196" s="122"/>
      <c r="I196" s="122"/>
      <c r="J196" s="122"/>
      <c r="K196" s="122"/>
      <c r="L196" s="122"/>
      <c r="M196" s="123"/>
      <c r="N196" s="123"/>
      <c r="O196" s="122"/>
      <c r="P196" s="124"/>
      <c r="Q196" s="122"/>
      <c r="R196" s="122"/>
      <c r="S196" s="122"/>
      <c r="T196" s="122"/>
      <c r="U196" s="122"/>
      <c r="V196" s="124"/>
      <c r="W196" s="125"/>
      <c r="X196" s="122"/>
      <c r="Y196" s="122"/>
      <c r="Z196" s="122"/>
      <c r="AA196" s="126"/>
      <c r="AB196" s="122"/>
      <c r="AC196" s="122"/>
      <c r="AD196" s="127"/>
      <c r="AE196" s="127"/>
      <c r="AF196" s="127"/>
      <c r="AG196" s="127"/>
      <c r="AH196" s="124"/>
      <c r="AI196" s="127"/>
      <c r="AJ196" s="127"/>
      <c r="AK196" s="126"/>
      <c r="AL196" s="122"/>
      <c r="AM196" s="122"/>
      <c r="AN196" s="122"/>
      <c r="AO196" s="122"/>
      <c r="AP196" s="122"/>
      <c r="AQ196" s="124"/>
    </row>
    <row r="197" spans="1:43" ht="15.75" customHeight="1">
      <c r="A197" s="122"/>
      <c r="B197" s="122"/>
      <c r="C197" s="122"/>
      <c r="D197" s="122"/>
      <c r="E197" s="122"/>
      <c r="F197" s="122"/>
      <c r="G197" s="122"/>
      <c r="H197" s="122"/>
      <c r="I197" s="122"/>
      <c r="J197" s="122"/>
      <c r="K197" s="122"/>
      <c r="L197" s="122"/>
      <c r="M197" s="123"/>
      <c r="N197" s="123"/>
      <c r="O197" s="122"/>
      <c r="P197" s="124"/>
      <c r="Q197" s="122"/>
      <c r="R197" s="122"/>
      <c r="S197" s="122"/>
      <c r="T197" s="122"/>
      <c r="U197" s="122"/>
      <c r="V197" s="124"/>
      <c r="W197" s="125"/>
      <c r="X197" s="122"/>
      <c r="Y197" s="122"/>
      <c r="Z197" s="122"/>
      <c r="AA197" s="126"/>
      <c r="AB197" s="122"/>
      <c r="AC197" s="122"/>
      <c r="AD197" s="127"/>
      <c r="AE197" s="127"/>
      <c r="AF197" s="127"/>
      <c r="AG197" s="127"/>
      <c r="AH197" s="124"/>
      <c r="AI197" s="127"/>
      <c r="AJ197" s="127"/>
      <c r="AK197" s="126"/>
      <c r="AL197" s="122"/>
      <c r="AM197" s="122"/>
      <c r="AN197" s="122"/>
      <c r="AO197" s="122"/>
      <c r="AP197" s="122"/>
      <c r="AQ197" s="124"/>
    </row>
    <row r="198" spans="1:43" ht="15.75" customHeight="1">
      <c r="A198" s="122"/>
      <c r="B198" s="122"/>
      <c r="C198" s="122"/>
      <c r="D198" s="122"/>
      <c r="E198" s="122"/>
      <c r="F198" s="122"/>
      <c r="G198" s="122"/>
      <c r="H198" s="122"/>
      <c r="I198" s="122"/>
      <c r="J198" s="122"/>
      <c r="K198" s="122"/>
      <c r="L198" s="122"/>
      <c r="M198" s="123"/>
      <c r="N198" s="123"/>
      <c r="O198" s="122"/>
      <c r="P198" s="124"/>
      <c r="Q198" s="122"/>
      <c r="R198" s="122"/>
      <c r="S198" s="122"/>
      <c r="T198" s="122"/>
      <c r="U198" s="122"/>
      <c r="V198" s="124"/>
      <c r="W198" s="125"/>
      <c r="X198" s="122"/>
      <c r="Y198" s="122"/>
      <c r="Z198" s="122"/>
      <c r="AA198" s="126"/>
      <c r="AB198" s="122"/>
      <c r="AC198" s="122"/>
      <c r="AD198" s="127"/>
      <c r="AE198" s="127"/>
      <c r="AF198" s="127"/>
      <c r="AG198" s="127"/>
      <c r="AH198" s="124"/>
      <c r="AI198" s="127"/>
      <c r="AJ198" s="127"/>
      <c r="AK198" s="126"/>
      <c r="AL198" s="122"/>
      <c r="AM198" s="122"/>
      <c r="AN198" s="122"/>
      <c r="AO198" s="122"/>
      <c r="AP198" s="122"/>
      <c r="AQ198" s="124"/>
    </row>
    <row r="199" spans="1:43" ht="15.75" customHeight="1">
      <c r="A199" s="122"/>
      <c r="B199" s="122"/>
      <c r="C199" s="122"/>
      <c r="D199" s="122"/>
      <c r="E199" s="122"/>
      <c r="F199" s="122"/>
      <c r="G199" s="122"/>
      <c r="H199" s="122"/>
      <c r="I199" s="122"/>
      <c r="J199" s="122"/>
      <c r="K199" s="122"/>
      <c r="L199" s="122"/>
      <c r="M199" s="123"/>
      <c r="N199" s="123"/>
      <c r="O199" s="122"/>
      <c r="P199" s="124"/>
      <c r="Q199" s="122"/>
      <c r="R199" s="122"/>
      <c r="S199" s="122"/>
      <c r="T199" s="122"/>
      <c r="U199" s="122"/>
      <c r="V199" s="124"/>
      <c r="W199" s="125"/>
      <c r="X199" s="122"/>
      <c r="Y199" s="122"/>
      <c r="Z199" s="122"/>
      <c r="AA199" s="126"/>
      <c r="AB199" s="122"/>
      <c r="AC199" s="122"/>
      <c r="AD199" s="127"/>
      <c r="AE199" s="127"/>
      <c r="AF199" s="127"/>
      <c r="AG199" s="127"/>
      <c r="AH199" s="124"/>
      <c r="AI199" s="127"/>
      <c r="AJ199" s="127"/>
      <c r="AK199" s="126"/>
      <c r="AL199" s="122"/>
      <c r="AM199" s="122"/>
      <c r="AN199" s="122"/>
      <c r="AO199" s="122"/>
      <c r="AP199" s="122"/>
      <c r="AQ199" s="124"/>
    </row>
    <row r="200" spans="1:43" ht="15.75" customHeight="1">
      <c r="A200" s="122"/>
      <c r="B200" s="122"/>
      <c r="C200" s="122"/>
      <c r="D200" s="122"/>
      <c r="E200" s="122"/>
      <c r="F200" s="122"/>
      <c r="G200" s="122"/>
      <c r="H200" s="122"/>
      <c r="I200" s="122"/>
      <c r="J200" s="122"/>
      <c r="K200" s="122"/>
      <c r="L200" s="122"/>
      <c r="M200" s="123"/>
      <c r="N200" s="123"/>
      <c r="O200" s="122"/>
      <c r="P200" s="124"/>
      <c r="Q200" s="122"/>
      <c r="R200" s="122"/>
      <c r="S200" s="122"/>
      <c r="T200" s="122"/>
      <c r="U200" s="122"/>
      <c r="V200" s="124"/>
      <c r="W200" s="125"/>
      <c r="X200" s="122"/>
      <c r="Y200" s="122"/>
      <c r="Z200" s="122"/>
      <c r="AA200" s="126"/>
      <c r="AB200" s="122"/>
      <c r="AC200" s="122"/>
      <c r="AD200" s="127"/>
      <c r="AE200" s="127"/>
      <c r="AF200" s="127"/>
      <c r="AG200" s="127"/>
      <c r="AH200" s="124"/>
      <c r="AI200" s="127"/>
      <c r="AJ200" s="127"/>
      <c r="AK200" s="126"/>
      <c r="AL200" s="122"/>
      <c r="AM200" s="122"/>
      <c r="AN200" s="122"/>
      <c r="AO200" s="122"/>
      <c r="AP200" s="122"/>
      <c r="AQ200" s="124"/>
    </row>
    <row r="201" spans="1:43" ht="15.75" customHeight="1">
      <c r="A201" s="122"/>
      <c r="B201" s="122"/>
      <c r="C201" s="122"/>
      <c r="D201" s="122"/>
      <c r="E201" s="122"/>
      <c r="F201" s="122"/>
      <c r="G201" s="122"/>
      <c r="H201" s="122"/>
      <c r="I201" s="122"/>
      <c r="J201" s="122"/>
      <c r="K201" s="122"/>
      <c r="L201" s="122"/>
      <c r="M201" s="123"/>
      <c r="N201" s="123"/>
      <c r="O201" s="122"/>
      <c r="P201" s="124"/>
      <c r="Q201" s="122"/>
      <c r="R201" s="122"/>
      <c r="S201" s="122"/>
      <c r="T201" s="122"/>
      <c r="U201" s="122"/>
      <c r="V201" s="124"/>
      <c r="W201" s="125"/>
      <c r="X201" s="122"/>
      <c r="Y201" s="122"/>
      <c r="Z201" s="122"/>
      <c r="AA201" s="126"/>
      <c r="AB201" s="122"/>
      <c r="AC201" s="122"/>
      <c r="AD201" s="127"/>
      <c r="AE201" s="127"/>
      <c r="AF201" s="127"/>
      <c r="AG201" s="127"/>
      <c r="AH201" s="124"/>
      <c r="AI201" s="127"/>
      <c r="AJ201" s="127"/>
      <c r="AK201" s="126"/>
      <c r="AL201" s="122"/>
      <c r="AM201" s="122"/>
      <c r="AN201" s="122"/>
      <c r="AO201" s="122"/>
      <c r="AP201" s="122"/>
      <c r="AQ201" s="124"/>
    </row>
    <row r="202" spans="1:43" ht="15.75" customHeight="1">
      <c r="A202" s="122"/>
      <c r="B202" s="122"/>
      <c r="C202" s="122"/>
      <c r="D202" s="122"/>
      <c r="E202" s="122"/>
      <c r="F202" s="122"/>
      <c r="G202" s="122"/>
      <c r="H202" s="122"/>
      <c r="I202" s="122"/>
      <c r="J202" s="122"/>
      <c r="K202" s="122"/>
      <c r="L202" s="122"/>
      <c r="M202" s="123"/>
      <c r="N202" s="123"/>
      <c r="O202" s="122"/>
      <c r="P202" s="124"/>
      <c r="Q202" s="122"/>
      <c r="R202" s="122"/>
      <c r="S202" s="122"/>
      <c r="T202" s="122"/>
      <c r="U202" s="122"/>
      <c r="V202" s="124"/>
      <c r="W202" s="125"/>
      <c r="X202" s="122"/>
      <c r="Y202" s="122"/>
      <c r="Z202" s="122"/>
      <c r="AA202" s="126"/>
      <c r="AB202" s="122"/>
      <c r="AC202" s="122"/>
      <c r="AD202" s="127"/>
      <c r="AE202" s="127"/>
      <c r="AF202" s="127"/>
      <c r="AG202" s="127"/>
      <c r="AH202" s="124"/>
      <c r="AI202" s="127"/>
      <c r="AJ202" s="127"/>
      <c r="AK202" s="126"/>
      <c r="AL202" s="122"/>
      <c r="AM202" s="122"/>
      <c r="AN202" s="122"/>
      <c r="AO202" s="122"/>
      <c r="AP202" s="122"/>
      <c r="AQ202" s="124"/>
    </row>
    <row r="203" spans="1:43" ht="15.75" customHeight="1">
      <c r="A203" s="122"/>
      <c r="B203" s="122"/>
      <c r="C203" s="122"/>
      <c r="D203" s="122"/>
      <c r="E203" s="122"/>
      <c r="F203" s="122"/>
      <c r="G203" s="122"/>
      <c r="H203" s="122"/>
      <c r="I203" s="122"/>
      <c r="J203" s="122"/>
      <c r="K203" s="122"/>
      <c r="L203" s="122"/>
      <c r="M203" s="123"/>
      <c r="N203" s="123"/>
      <c r="O203" s="122"/>
      <c r="P203" s="124"/>
      <c r="Q203" s="122"/>
      <c r="R203" s="122"/>
      <c r="S203" s="122"/>
      <c r="T203" s="122"/>
      <c r="U203" s="122"/>
      <c r="V203" s="124"/>
      <c r="W203" s="125"/>
      <c r="X203" s="122"/>
      <c r="Y203" s="122"/>
      <c r="Z203" s="122"/>
      <c r="AA203" s="126"/>
      <c r="AB203" s="122"/>
      <c r="AC203" s="122"/>
      <c r="AD203" s="127"/>
      <c r="AE203" s="127"/>
      <c r="AF203" s="127"/>
      <c r="AG203" s="127"/>
      <c r="AH203" s="124"/>
      <c r="AI203" s="127"/>
      <c r="AJ203" s="127"/>
      <c r="AK203" s="126"/>
      <c r="AL203" s="122"/>
      <c r="AM203" s="122"/>
      <c r="AN203" s="122"/>
      <c r="AO203" s="122"/>
      <c r="AP203" s="122"/>
      <c r="AQ203" s="124"/>
    </row>
    <row r="204" spans="1:43" ht="15.75" customHeight="1">
      <c r="A204" s="122"/>
      <c r="B204" s="122"/>
      <c r="C204" s="122"/>
      <c r="D204" s="122"/>
      <c r="E204" s="122"/>
      <c r="F204" s="122"/>
      <c r="G204" s="122"/>
      <c r="H204" s="122"/>
      <c r="I204" s="122"/>
      <c r="J204" s="122"/>
      <c r="K204" s="122"/>
      <c r="L204" s="122"/>
      <c r="M204" s="123"/>
      <c r="N204" s="123"/>
      <c r="O204" s="122"/>
      <c r="P204" s="124"/>
      <c r="Q204" s="122"/>
      <c r="R204" s="122"/>
      <c r="S204" s="122"/>
      <c r="T204" s="122"/>
      <c r="U204" s="122"/>
      <c r="V204" s="124"/>
      <c r="W204" s="125"/>
      <c r="X204" s="122"/>
      <c r="Y204" s="122"/>
      <c r="Z204" s="122"/>
      <c r="AA204" s="126"/>
      <c r="AB204" s="122"/>
      <c r="AC204" s="122"/>
      <c r="AD204" s="127"/>
      <c r="AE204" s="127"/>
      <c r="AF204" s="127"/>
      <c r="AG204" s="127"/>
      <c r="AH204" s="124"/>
      <c r="AI204" s="127"/>
      <c r="AJ204" s="127"/>
      <c r="AK204" s="126"/>
      <c r="AL204" s="122"/>
      <c r="AM204" s="122"/>
      <c r="AN204" s="122"/>
      <c r="AO204" s="122"/>
      <c r="AP204" s="122"/>
      <c r="AQ204" s="124"/>
    </row>
    <row r="205" spans="1:43" ht="15.75" customHeight="1">
      <c r="A205" s="122"/>
      <c r="B205" s="122"/>
      <c r="C205" s="122"/>
      <c r="D205" s="122"/>
      <c r="E205" s="122"/>
      <c r="F205" s="122"/>
      <c r="G205" s="122"/>
      <c r="H205" s="122"/>
      <c r="I205" s="122"/>
      <c r="J205" s="122"/>
      <c r="K205" s="122"/>
      <c r="L205" s="122"/>
      <c r="M205" s="123"/>
      <c r="N205" s="123"/>
      <c r="O205" s="122"/>
      <c r="P205" s="124"/>
      <c r="Q205" s="122"/>
      <c r="R205" s="122"/>
      <c r="S205" s="122"/>
      <c r="T205" s="122"/>
      <c r="U205" s="122"/>
      <c r="V205" s="124"/>
      <c r="W205" s="125"/>
      <c r="X205" s="122"/>
      <c r="Y205" s="122"/>
      <c r="Z205" s="122"/>
      <c r="AA205" s="126"/>
      <c r="AB205" s="122"/>
      <c r="AC205" s="122"/>
      <c r="AD205" s="127"/>
      <c r="AE205" s="127"/>
      <c r="AF205" s="127"/>
      <c r="AG205" s="127"/>
      <c r="AH205" s="124"/>
      <c r="AI205" s="127"/>
      <c r="AJ205" s="127"/>
      <c r="AK205" s="126"/>
      <c r="AL205" s="122"/>
      <c r="AM205" s="122"/>
      <c r="AN205" s="122"/>
      <c r="AO205" s="122"/>
      <c r="AP205" s="122"/>
      <c r="AQ205" s="124"/>
    </row>
    <row r="206" spans="1:43" ht="15.75" customHeight="1">
      <c r="A206" s="122"/>
      <c r="B206" s="122"/>
      <c r="C206" s="122"/>
      <c r="D206" s="122"/>
      <c r="E206" s="122"/>
      <c r="F206" s="122"/>
      <c r="G206" s="122"/>
      <c r="H206" s="122"/>
      <c r="I206" s="122"/>
      <c r="J206" s="122"/>
      <c r="K206" s="122"/>
      <c r="L206" s="122"/>
      <c r="M206" s="123"/>
      <c r="N206" s="123"/>
      <c r="O206" s="122"/>
      <c r="P206" s="124"/>
      <c r="Q206" s="122"/>
      <c r="R206" s="122"/>
      <c r="S206" s="122"/>
      <c r="T206" s="122"/>
      <c r="U206" s="122"/>
      <c r="V206" s="124"/>
      <c r="W206" s="125"/>
      <c r="X206" s="122"/>
      <c r="Y206" s="122"/>
      <c r="Z206" s="122"/>
      <c r="AA206" s="126"/>
      <c r="AB206" s="122"/>
      <c r="AC206" s="122"/>
      <c r="AD206" s="127"/>
      <c r="AE206" s="127"/>
      <c r="AF206" s="127"/>
      <c r="AG206" s="127"/>
      <c r="AH206" s="124"/>
      <c r="AI206" s="127"/>
      <c r="AJ206" s="127"/>
      <c r="AK206" s="126"/>
      <c r="AL206" s="122"/>
      <c r="AM206" s="122"/>
      <c r="AN206" s="122"/>
      <c r="AO206" s="122"/>
      <c r="AP206" s="122"/>
      <c r="AQ206" s="124"/>
    </row>
    <row r="207" spans="1:43" ht="15.75" customHeight="1">
      <c r="A207" s="122"/>
      <c r="B207" s="122"/>
      <c r="C207" s="122"/>
      <c r="D207" s="122"/>
      <c r="E207" s="122"/>
      <c r="F207" s="122"/>
      <c r="G207" s="122"/>
      <c r="H207" s="122"/>
      <c r="I207" s="122"/>
      <c r="J207" s="122"/>
      <c r="K207" s="122"/>
      <c r="L207" s="122"/>
      <c r="M207" s="123"/>
      <c r="N207" s="123"/>
      <c r="O207" s="122"/>
      <c r="P207" s="124"/>
      <c r="Q207" s="122"/>
      <c r="R207" s="122"/>
      <c r="S207" s="122"/>
      <c r="T207" s="122"/>
      <c r="U207" s="122"/>
      <c r="V207" s="124"/>
      <c r="W207" s="125"/>
      <c r="X207" s="122"/>
      <c r="Y207" s="122"/>
      <c r="Z207" s="122"/>
      <c r="AA207" s="126"/>
      <c r="AB207" s="122"/>
      <c r="AC207" s="122"/>
      <c r="AD207" s="127"/>
      <c r="AE207" s="127"/>
      <c r="AF207" s="127"/>
      <c r="AG207" s="127"/>
      <c r="AH207" s="124"/>
      <c r="AI207" s="127"/>
      <c r="AJ207" s="127"/>
      <c r="AK207" s="126"/>
      <c r="AL207" s="122"/>
      <c r="AM207" s="122"/>
      <c r="AN207" s="122"/>
      <c r="AO207" s="122"/>
      <c r="AP207" s="122"/>
      <c r="AQ207" s="124"/>
    </row>
    <row r="208" spans="1:43" ht="15.75" customHeight="1">
      <c r="A208" s="122"/>
      <c r="B208" s="122"/>
      <c r="C208" s="122"/>
      <c r="D208" s="122"/>
      <c r="E208" s="122"/>
      <c r="F208" s="122"/>
      <c r="G208" s="122"/>
      <c r="H208" s="122"/>
      <c r="I208" s="122"/>
      <c r="J208" s="122"/>
      <c r="K208" s="122"/>
      <c r="L208" s="122"/>
      <c r="M208" s="123"/>
      <c r="N208" s="123"/>
      <c r="O208" s="122"/>
      <c r="P208" s="124"/>
      <c r="Q208" s="122"/>
      <c r="R208" s="122"/>
      <c r="S208" s="122"/>
      <c r="T208" s="122"/>
      <c r="U208" s="122"/>
      <c r="V208" s="124"/>
      <c r="W208" s="125"/>
      <c r="X208" s="122"/>
      <c r="Y208" s="122"/>
      <c r="Z208" s="122"/>
      <c r="AA208" s="126"/>
      <c r="AB208" s="122"/>
      <c r="AC208" s="122"/>
      <c r="AD208" s="127"/>
      <c r="AE208" s="127"/>
      <c r="AF208" s="127"/>
      <c r="AG208" s="127"/>
      <c r="AH208" s="124"/>
      <c r="AI208" s="127"/>
      <c r="AJ208" s="127"/>
      <c r="AK208" s="126"/>
      <c r="AL208" s="122"/>
      <c r="AM208" s="122"/>
      <c r="AN208" s="122"/>
      <c r="AO208" s="122"/>
      <c r="AP208" s="122"/>
      <c r="AQ208" s="124"/>
    </row>
    <row r="209" spans="1:43" ht="15.75" customHeight="1">
      <c r="A209" s="122"/>
      <c r="B209" s="122"/>
      <c r="C209" s="122"/>
      <c r="D209" s="122"/>
      <c r="E209" s="122"/>
      <c r="F209" s="122"/>
      <c r="G209" s="122"/>
      <c r="H209" s="122"/>
      <c r="I209" s="122"/>
      <c r="J209" s="122"/>
      <c r="K209" s="122"/>
      <c r="L209" s="122"/>
      <c r="M209" s="123"/>
      <c r="N209" s="123"/>
      <c r="O209" s="122"/>
      <c r="P209" s="124"/>
      <c r="Q209" s="122"/>
      <c r="R209" s="122"/>
      <c r="S209" s="122"/>
      <c r="T209" s="122"/>
      <c r="U209" s="122"/>
      <c r="V209" s="124"/>
      <c r="W209" s="125"/>
      <c r="X209" s="122"/>
      <c r="Y209" s="122"/>
      <c r="Z209" s="122"/>
      <c r="AA209" s="126"/>
      <c r="AB209" s="122"/>
      <c r="AC209" s="122"/>
      <c r="AD209" s="127"/>
      <c r="AE209" s="127"/>
      <c r="AF209" s="127"/>
      <c r="AG209" s="127"/>
      <c r="AH209" s="124"/>
      <c r="AI209" s="127"/>
      <c r="AJ209" s="127"/>
      <c r="AK209" s="126"/>
      <c r="AL209" s="122"/>
      <c r="AM209" s="122"/>
      <c r="AN209" s="122"/>
      <c r="AO209" s="122"/>
      <c r="AP209" s="122"/>
      <c r="AQ209" s="124"/>
    </row>
    <row r="210" spans="1:43" ht="15.75" customHeight="1">
      <c r="A210" s="122"/>
      <c r="B210" s="122"/>
      <c r="C210" s="122"/>
      <c r="D210" s="122"/>
      <c r="E210" s="122"/>
      <c r="F210" s="122"/>
      <c r="G210" s="122"/>
      <c r="H210" s="122"/>
      <c r="I210" s="122"/>
      <c r="J210" s="122"/>
      <c r="K210" s="122"/>
      <c r="L210" s="122"/>
      <c r="M210" s="123"/>
      <c r="N210" s="123"/>
      <c r="O210" s="122"/>
      <c r="P210" s="124"/>
      <c r="Q210" s="122"/>
      <c r="R210" s="122"/>
      <c r="S210" s="122"/>
      <c r="T210" s="122"/>
      <c r="U210" s="122"/>
      <c r="V210" s="124"/>
      <c r="W210" s="125"/>
      <c r="X210" s="122"/>
      <c r="Y210" s="122"/>
      <c r="Z210" s="122"/>
      <c r="AA210" s="126"/>
      <c r="AB210" s="122"/>
      <c r="AC210" s="122"/>
      <c r="AD210" s="127"/>
      <c r="AE210" s="127"/>
      <c r="AF210" s="127"/>
      <c r="AG210" s="127"/>
      <c r="AH210" s="124"/>
      <c r="AI210" s="127"/>
      <c r="AJ210" s="127"/>
      <c r="AK210" s="126"/>
      <c r="AL210" s="122"/>
      <c r="AM210" s="122"/>
      <c r="AN210" s="122"/>
      <c r="AO210" s="122"/>
      <c r="AP210" s="122"/>
      <c r="AQ210" s="124"/>
    </row>
    <row r="211" spans="1:43" ht="15.75" customHeight="1">
      <c r="A211" s="122"/>
      <c r="B211" s="122"/>
      <c r="C211" s="122"/>
      <c r="D211" s="122"/>
      <c r="E211" s="122"/>
      <c r="F211" s="122"/>
      <c r="G211" s="122"/>
      <c r="H211" s="122"/>
      <c r="I211" s="122"/>
      <c r="J211" s="122"/>
      <c r="K211" s="122"/>
      <c r="L211" s="122"/>
      <c r="M211" s="123"/>
      <c r="N211" s="123"/>
      <c r="O211" s="122"/>
      <c r="P211" s="124"/>
      <c r="Q211" s="122"/>
      <c r="R211" s="122"/>
      <c r="S211" s="122"/>
      <c r="T211" s="122"/>
      <c r="U211" s="122"/>
      <c r="V211" s="124"/>
      <c r="W211" s="125"/>
      <c r="X211" s="122"/>
      <c r="Y211" s="122"/>
      <c r="Z211" s="122"/>
      <c r="AA211" s="126"/>
      <c r="AB211" s="122"/>
      <c r="AC211" s="122"/>
      <c r="AD211" s="127"/>
      <c r="AE211" s="127"/>
      <c r="AF211" s="127"/>
      <c r="AG211" s="127"/>
      <c r="AH211" s="124"/>
      <c r="AI211" s="127"/>
      <c r="AJ211" s="127"/>
      <c r="AK211" s="126"/>
      <c r="AL211" s="122"/>
      <c r="AM211" s="122"/>
      <c r="AN211" s="122"/>
      <c r="AO211" s="122"/>
      <c r="AP211" s="122"/>
      <c r="AQ211" s="124"/>
    </row>
    <row r="212" spans="1:43" ht="15.75" customHeight="1">
      <c r="A212" s="122"/>
      <c r="B212" s="122"/>
      <c r="C212" s="122"/>
      <c r="D212" s="122"/>
      <c r="E212" s="122"/>
      <c r="F212" s="122"/>
      <c r="G212" s="122"/>
      <c r="H212" s="122"/>
      <c r="I212" s="122"/>
      <c r="J212" s="122"/>
      <c r="K212" s="122"/>
      <c r="L212" s="122"/>
      <c r="M212" s="123"/>
      <c r="N212" s="123"/>
      <c r="O212" s="122"/>
      <c r="P212" s="124"/>
      <c r="Q212" s="122"/>
      <c r="R212" s="122"/>
      <c r="S212" s="122"/>
      <c r="T212" s="122"/>
      <c r="U212" s="122"/>
      <c r="V212" s="124"/>
      <c r="W212" s="125"/>
      <c r="X212" s="122"/>
      <c r="Y212" s="122"/>
      <c r="Z212" s="122"/>
      <c r="AA212" s="126"/>
      <c r="AB212" s="122"/>
      <c r="AC212" s="122"/>
      <c r="AD212" s="127"/>
      <c r="AE212" s="127"/>
      <c r="AF212" s="127"/>
      <c r="AG212" s="127"/>
      <c r="AH212" s="124"/>
      <c r="AI212" s="127"/>
      <c r="AJ212" s="127"/>
      <c r="AK212" s="126"/>
      <c r="AL212" s="122"/>
      <c r="AM212" s="122"/>
      <c r="AN212" s="122"/>
      <c r="AO212" s="122"/>
      <c r="AP212" s="122"/>
      <c r="AQ212" s="124"/>
    </row>
    <row r="213" spans="1:43" ht="15.75" customHeight="1">
      <c r="A213" s="122"/>
      <c r="B213" s="122"/>
      <c r="C213" s="122"/>
      <c r="D213" s="122"/>
      <c r="E213" s="122"/>
      <c r="F213" s="122"/>
      <c r="G213" s="122"/>
      <c r="H213" s="122"/>
      <c r="I213" s="122"/>
      <c r="J213" s="122"/>
      <c r="K213" s="122"/>
      <c r="L213" s="122"/>
      <c r="M213" s="123"/>
      <c r="N213" s="123"/>
      <c r="O213" s="122"/>
      <c r="P213" s="124"/>
      <c r="Q213" s="122"/>
      <c r="R213" s="122"/>
      <c r="S213" s="122"/>
      <c r="T213" s="122"/>
      <c r="U213" s="122"/>
      <c r="V213" s="124"/>
      <c r="W213" s="125"/>
      <c r="X213" s="122"/>
      <c r="Y213" s="122"/>
      <c r="Z213" s="122"/>
      <c r="AA213" s="126"/>
      <c r="AB213" s="122"/>
      <c r="AC213" s="122"/>
      <c r="AD213" s="127"/>
      <c r="AE213" s="127"/>
      <c r="AF213" s="127"/>
      <c r="AG213" s="127"/>
      <c r="AH213" s="124"/>
      <c r="AI213" s="127"/>
      <c r="AJ213" s="127"/>
      <c r="AK213" s="126"/>
      <c r="AL213" s="122"/>
      <c r="AM213" s="122"/>
      <c r="AN213" s="122"/>
      <c r="AO213" s="122"/>
      <c r="AP213" s="122"/>
      <c r="AQ213" s="124"/>
    </row>
    <row r="214" spans="1:43" ht="15.75" customHeight="1">
      <c r="A214" s="122"/>
      <c r="B214" s="122"/>
      <c r="C214" s="122"/>
      <c r="D214" s="122"/>
      <c r="E214" s="122"/>
      <c r="F214" s="122"/>
      <c r="G214" s="122"/>
      <c r="H214" s="122"/>
      <c r="I214" s="122"/>
      <c r="J214" s="122"/>
      <c r="K214" s="122"/>
      <c r="L214" s="122"/>
      <c r="M214" s="123"/>
      <c r="N214" s="123"/>
      <c r="O214" s="122"/>
      <c r="P214" s="124"/>
      <c r="Q214" s="122"/>
      <c r="R214" s="122"/>
      <c r="S214" s="122"/>
      <c r="T214" s="122"/>
      <c r="U214" s="122"/>
      <c r="V214" s="124"/>
      <c r="W214" s="125"/>
      <c r="X214" s="122"/>
      <c r="Y214" s="122"/>
      <c r="Z214" s="122"/>
      <c r="AA214" s="126"/>
      <c r="AB214" s="122"/>
      <c r="AC214" s="122"/>
      <c r="AD214" s="127"/>
      <c r="AE214" s="127"/>
      <c r="AF214" s="127"/>
      <c r="AG214" s="127"/>
      <c r="AH214" s="124"/>
      <c r="AI214" s="127"/>
      <c r="AJ214" s="127"/>
      <c r="AK214" s="126"/>
      <c r="AL214" s="122"/>
      <c r="AM214" s="122"/>
      <c r="AN214" s="122"/>
      <c r="AO214" s="122"/>
      <c r="AP214" s="122"/>
      <c r="AQ214" s="124"/>
    </row>
    <row r="215" spans="1:43" ht="15.75" customHeight="1">
      <c r="A215" s="122"/>
      <c r="B215" s="122"/>
      <c r="C215" s="122"/>
      <c r="D215" s="122"/>
      <c r="E215" s="122"/>
      <c r="F215" s="122"/>
      <c r="G215" s="122"/>
      <c r="H215" s="122"/>
      <c r="I215" s="122"/>
      <c r="J215" s="122"/>
      <c r="K215" s="122"/>
      <c r="L215" s="122"/>
      <c r="M215" s="123"/>
      <c r="N215" s="123"/>
      <c r="O215" s="122"/>
      <c r="P215" s="124"/>
      <c r="Q215" s="122"/>
      <c r="R215" s="122"/>
      <c r="S215" s="122"/>
      <c r="T215" s="122"/>
      <c r="U215" s="122"/>
      <c r="V215" s="124"/>
      <c r="W215" s="125"/>
      <c r="X215" s="122"/>
      <c r="Y215" s="122"/>
      <c r="Z215" s="122"/>
      <c r="AA215" s="126"/>
      <c r="AB215" s="122"/>
      <c r="AC215" s="122"/>
      <c r="AD215" s="127"/>
      <c r="AE215" s="127"/>
      <c r="AF215" s="127"/>
      <c r="AG215" s="127"/>
      <c r="AH215" s="124"/>
      <c r="AI215" s="127"/>
      <c r="AJ215" s="127"/>
      <c r="AK215" s="126"/>
      <c r="AL215" s="122"/>
      <c r="AM215" s="122"/>
      <c r="AN215" s="122"/>
      <c r="AO215" s="122"/>
      <c r="AP215" s="122"/>
      <c r="AQ215" s="124"/>
    </row>
    <row r="216" spans="1:43" ht="15.75" customHeight="1">
      <c r="A216" s="122"/>
      <c r="B216" s="122"/>
      <c r="C216" s="122"/>
      <c r="D216" s="122"/>
      <c r="E216" s="122"/>
      <c r="F216" s="122"/>
      <c r="G216" s="122"/>
      <c r="H216" s="122"/>
      <c r="I216" s="122"/>
      <c r="J216" s="122"/>
      <c r="K216" s="122"/>
      <c r="L216" s="122"/>
      <c r="M216" s="123"/>
      <c r="N216" s="123"/>
      <c r="O216" s="122"/>
      <c r="P216" s="124"/>
      <c r="Q216" s="122"/>
      <c r="R216" s="122"/>
      <c r="S216" s="122"/>
      <c r="T216" s="122"/>
      <c r="U216" s="122"/>
      <c r="V216" s="124"/>
      <c r="W216" s="125"/>
      <c r="X216" s="122"/>
      <c r="Y216" s="122"/>
      <c r="Z216" s="122"/>
      <c r="AA216" s="126"/>
      <c r="AB216" s="122"/>
      <c r="AC216" s="122"/>
      <c r="AD216" s="127"/>
      <c r="AE216" s="127"/>
      <c r="AF216" s="127"/>
      <c r="AG216" s="127"/>
      <c r="AH216" s="124"/>
      <c r="AI216" s="127"/>
      <c r="AJ216" s="127"/>
      <c r="AK216" s="126"/>
      <c r="AL216" s="122"/>
      <c r="AM216" s="122"/>
      <c r="AN216" s="122"/>
      <c r="AO216" s="122"/>
      <c r="AP216" s="122"/>
      <c r="AQ216" s="124"/>
    </row>
    <row r="217" spans="1:43" ht="15.75" customHeight="1">
      <c r="A217" s="122"/>
      <c r="B217" s="122"/>
      <c r="C217" s="122"/>
      <c r="D217" s="122"/>
      <c r="E217" s="122"/>
      <c r="F217" s="122"/>
      <c r="G217" s="122"/>
      <c r="H217" s="122"/>
      <c r="I217" s="122"/>
      <c r="J217" s="122"/>
      <c r="K217" s="122"/>
      <c r="L217" s="122"/>
      <c r="M217" s="123"/>
      <c r="N217" s="123"/>
      <c r="O217" s="122"/>
      <c r="P217" s="124"/>
      <c r="Q217" s="122"/>
      <c r="R217" s="122"/>
      <c r="S217" s="122"/>
      <c r="T217" s="122"/>
      <c r="U217" s="122"/>
      <c r="V217" s="124"/>
      <c r="W217" s="125"/>
      <c r="X217" s="122"/>
      <c r="Y217" s="122"/>
      <c r="Z217" s="122"/>
      <c r="AA217" s="126"/>
      <c r="AB217" s="122"/>
      <c r="AC217" s="122"/>
      <c r="AD217" s="127"/>
      <c r="AE217" s="127"/>
      <c r="AF217" s="127"/>
      <c r="AG217" s="127"/>
      <c r="AH217" s="124"/>
      <c r="AI217" s="127"/>
      <c r="AJ217" s="127"/>
      <c r="AK217" s="126"/>
      <c r="AL217" s="122"/>
      <c r="AM217" s="122"/>
      <c r="AN217" s="122"/>
      <c r="AO217" s="122"/>
      <c r="AP217" s="122"/>
      <c r="AQ217" s="124"/>
    </row>
    <row r="218" spans="1:43" ht="15.75" customHeight="1">
      <c r="A218" s="122"/>
      <c r="B218" s="122"/>
      <c r="C218" s="122"/>
      <c r="D218" s="122"/>
      <c r="E218" s="122"/>
      <c r="F218" s="122"/>
      <c r="G218" s="122"/>
      <c r="H218" s="122"/>
      <c r="I218" s="122"/>
      <c r="J218" s="122"/>
      <c r="K218" s="122"/>
      <c r="L218" s="122"/>
      <c r="M218" s="123"/>
      <c r="N218" s="123"/>
      <c r="O218" s="122"/>
      <c r="P218" s="124"/>
      <c r="Q218" s="122"/>
      <c r="R218" s="122"/>
      <c r="S218" s="122"/>
      <c r="T218" s="122"/>
      <c r="U218" s="122"/>
      <c r="V218" s="124"/>
      <c r="W218" s="125"/>
      <c r="X218" s="122"/>
      <c r="Y218" s="122"/>
      <c r="Z218" s="122"/>
      <c r="AA218" s="126"/>
      <c r="AB218" s="122"/>
      <c r="AC218" s="122"/>
      <c r="AD218" s="127"/>
      <c r="AE218" s="127"/>
      <c r="AF218" s="127"/>
      <c r="AG218" s="127"/>
      <c r="AH218" s="124"/>
      <c r="AI218" s="127"/>
      <c r="AJ218" s="127"/>
      <c r="AK218" s="126"/>
      <c r="AL218" s="122"/>
      <c r="AM218" s="122"/>
      <c r="AN218" s="122"/>
      <c r="AO218" s="122"/>
      <c r="AP218" s="122"/>
      <c r="AQ218" s="124"/>
    </row>
    <row r="219" spans="1:43" ht="15.75" customHeight="1">
      <c r="A219" s="122"/>
      <c r="B219" s="122"/>
      <c r="C219" s="122"/>
      <c r="D219" s="122"/>
      <c r="E219" s="122"/>
      <c r="F219" s="122"/>
      <c r="G219" s="122"/>
      <c r="H219" s="122"/>
      <c r="I219" s="122"/>
      <c r="J219" s="122"/>
      <c r="K219" s="122"/>
      <c r="L219" s="122"/>
      <c r="M219" s="123"/>
      <c r="N219" s="123"/>
      <c r="O219" s="122"/>
      <c r="P219" s="124"/>
      <c r="Q219" s="122"/>
      <c r="R219" s="122"/>
      <c r="S219" s="122"/>
      <c r="T219" s="122"/>
      <c r="U219" s="122"/>
      <c r="V219" s="124"/>
      <c r="W219" s="125"/>
      <c r="X219" s="122"/>
      <c r="Y219" s="122"/>
      <c r="Z219" s="122"/>
      <c r="AA219" s="126"/>
      <c r="AB219" s="122"/>
      <c r="AC219" s="122"/>
      <c r="AD219" s="127"/>
      <c r="AE219" s="127"/>
      <c r="AF219" s="127"/>
      <c r="AG219" s="127"/>
      <c r="AH219" s="124"/>
      <c r="AI219" s="127"/>
      <c r="AJ219" s="127"/>
      <c r="AK219" s="126"/>
      <c r="AL219" s="122"/>
      <c r="AM219" s="122"/>
      <c r="AN219" s="122"/>
      <c r="AO219" s="122"/>
      <c r="AP219" s="122"/>
      <c r="AQ219" s="124"/>
    </row>
    <row r="220" spans="1:43" ht="15.75" customHeight="1">
      <c r="A220" s="122"/>
      <c r="B220" s="122"/>
      <c r="C220" s="122"/>
      <c r="D220" s="122"/>
      <c r="E220" s="122"/>
      <c r="F220" s="122"/>
      <c r="G220" s="122"/>
      <c r="H220" s="122"/>
      <c r="I220" s="122"/>
      <c r="J220" s="122"/>
      <c r="K220" s="122"/>
      <c r="L220" s="122"/>
      <c r="M220" s="123"/>
      <c r="N220" s="123"/>
      <c r="O220" s="122"/>
      <c r="P220" s="124"/>
      <c r="Q220" s="122"/>
      <c r="R220" s="122"/>
      <c r="S220" s="122"/>
      <c r="T220" s="122"/>
      <c r="U220" s="122"/>
      <c r="V220" s="124"/>
      <c r="W220" s="125"/>
      <c r="X220" s="122"/>
      <c r="Y220" s="122"/>
      <c r="Z220" s="122"/>
      <c r="AA220" s="126"/>
      <c r="AB220" s="122"/>
      <c r="AC220" s="122"/>
      <c r="AD220" s="127"/>
      <c r="AE220" s="127"/>
      <c r="AF220" s="127"/>
      <c r="AG220" s="127"/>
      <c r="AH220" s="124"/>
      <c r="AI220" s="127"/>
      <c r="AJ220" s="127"/>
      <c r="AK220" s="126"/>
      <c r="AL220" s="122"/>
      <c r="AM220" s="122"/>
      <c r="AN220" s="122"/>
      <c r="AO220" s="122"/>
      <c r="AP220" s="122"/>
      <c r="AQ220" s="124"/>
    </row>
    <row r="221" spans="1:43" ht="15.75" customHeight="1">
      <c r="A221" s="122"/>
      <c r="B221" s="122"/>
      <c r="C221" s="122"/>
      <c r="D221" s="122"/>
      <c r="E221" s="122"/>
      <c r="F221" s="122"/>
      <c r="G221" s="122"/>
      <c r="H221" s="122"/>
      <c r="I221" s="122"/>
      <c r="J221" s="122"/>
      <c r="K221" s="122"/>
      <c r="L221" s="122"/>
      <c r="M221" s="123"/>
      <c r="N221" s="123"/>
      <c r="O221" s="122"/>
      <c r="P221" s="124"/>
      <c r="Q221" s="122"/>
      <c r="R221" s="122"/>
      <c r="S221" s="122"/>
      <c r="T221" s="122"/>
      <c r="U221" s="122"/>
      <c r="V221" s="124"/>
      <c r="W221" s="125"/>
      <c r="X221" s="122"/>
      <c r="Y221" s="122"/>
      <c r="Z221" s="122"/>
      <c r="AA221" s="126"/>
      <c r="AB221" s="122"/>
      <c r="AC221" s="122"/>
      <c r="AD221" s="127"/>
      <c r="AE221" s="127"/>
      <c r="AF221" s="127"/>
      <c r="AG221" s="127"/>
      <c r="AH221" s="124"/>
      <c r="AI221" s="127"/>
      <c r="AJ221" s="127"/>
      <c r="AK221" s="126"/>
      <c r="AL221" s="122"/>
      <c r="AM221" s="122"/>
      <c r="AN221" s="122"/>
      <c r="AO221" s="122"/>
      <c r="AP221" s="122"/>
      <c r="AQ221" s="124"/>
    </row>
    <row r="222" spans="1:43" ht="15.75" customHeight="1">
      <c r="A222" s="122"/>
      <c r="B222" s="122"/>
      <c r="C222" s="122"/>
      <c r="D222" s="122"/>
      <c r="E222" s="122"/>
      <c r="F222" s="122"/>
      <c r="G222" s="122"/>
      <c r="H222" s="122"/>
      <c r="I222" s="122"/>
      <c r="J222" s="122"/>
      <c r="K222" s="122"/>
      <c r="L222" s="122"/>
      <c r="M222" s="123"/>
      <c r="N222" s="123"/>
      <c r="O222" s="122"/>
      <c r="P222" s="124"/>
      <c r="Q222" s="122"/>
      <c r="R222" s="122"/>
      <c r="S222" s="122"/>
      <c r="T222" s="122"/>
      <c r="U222" s="122"/>
      <c r="V222" s="124"/>
      <c r="W222" s="125"/>
      <c r="X222" s="122"/>
      <c r="Y222" s="122"/>
      <c r="Z222" s="122"/>
      <c r="AA222" s="126"/>
      <c r="AB222" s="122"/>
      <c r="AC222" s="122"/>
      <c r="AD222" s="127"/>
      <c r="AE222" s="127"/>
      <c r="AF222" s="127"/>
      <c r="AG222" s="127"/>
      <c r="AH222" s="124"/>
      <c r="AI222" s="127"/>
      <c r="AJ222" s="127"/>
      <c r="AK222" s="126"/>
      <c r="AL222" s="122"/>
      <c r="AM222" s="122"/>
      <c r="AN222" s="122"/>
      <c r="AO222" s="122"/>
      <c r="AP222" s="122"/>
      <c r="AQ222" s="124"/>
    </row>
    <row r="223" spans="1:43" ht="15.75" customHeight="1">
      <c r="A223" s="122"/>
      <c r="B223" s="122"/>
      <c r="C223" s="122"/>
      <c r="D223" s="122"/>
      <c r="E223" s="122"/>
      <c r="F223" s="122"/>
      <c r="G223" s="122"/>
      <c r="H223" s="122"/>
      <c r="I223" s="122"/>
      <c r="J223" s="122"/>
      <c r="K223" s="122"/>
      <c r="L223" s="122"/>
      <c r="M223" s="123"/>
      <c r="N223" s="123"/>
      <c r="O223" s="122"/>
      <c r="P223" s="124"/>
      <c r="Q223" s="122"/>
      <c r="R223" s="122"/>
      <c r="S223" s="122"/>
      <c r="T223" s="122"/>
      <c r="U223" s="122"/>
      <c r="V223" s="124"/>
      <c r="W223" s="125"/>
      <c r="X223" s="122"/>
      <c r="Y223" s="122"/>
      <c r="Z223" s="122"/>
      <c r="AA223" s="126"/>
      <c r="AB223" s="122"/>
      <c r="AC223" s="122"/>
      <c r="AD223" s="127"/>
      <c r="AE223" s="127"/>
      <c r="AF223" s="127"/>
      <c r="AG223" s="127"/>
      <c r="AH223" s="124"/>
      <c r="AI223" s="127"/>
      <c r="AJ223" s="127"/>
      <c r="AK223" s="126"/>
      <c r="AL223" s="122"/>
      <c r="AM223" s="122"/>
      <c r="AN223" s="122"/>
      <c r="AO223" s="122"/>
      <c r="AP223" s="122"/>
      <c r="AQ223" s="124"/>
    </row>
    <row r="224" spans="1:43" ht="15.75" customHeight="1">
      <c r="A224" s="122"/>
      <c r="B224" s="122"/>
      <c r="C224" s="122"/>
      <c r="D224" s="122"/>
      <c r="E224" s="122"/>
      <c r="F224" s="122"/>
      <c r="G224" s="122"/>
      <c r="H224" s="122"/>
      <c r="I224" s="122"/>
      <c r="J224" s="122"/>
      <c r="K224" s="122"/>
      <c r="L224" s="122"/>
      <c r="M224" s="123"/>
      <c r="N224" s="123"/>
      <c r="O224" s="122"/>
      <c r="P224" s="124"/>
      <c r="Q224" s="122"/>
      <c r="R224" s="122"/>
      <c r="S224" s="122"/>
      <c r="T224" s="122"/>
      <c r="U224" s="122"/>
      <c r="V224" s="124"/>
      <c r="W224" s="125"/>
      <c r="X224" s="122"/>
      <c r="Y224" s="122"/>
      <c r="Z224" s="122"/>
      <c r="AA224" s="126"/>
      <c r="AB224" s="122"/>
      <c r="AC224" s="122"/>
      <c r="AD224" s="127"/>
      <c r="AE224" s="127"/>
      <c r="AF224" s="127"/>
      <c r="AG224" s="127"/>
      <c r="AH224" s="124"/>
      <c r="AI224" s="127"/>
      <c r="AJ224" s="127"/>
      <c r="AK224" s="126"/>
      <c r="AL224" s="122"/>
      <c r="AM224" s="122"/>
      <c r="AN224" s="122"/>
      <c r="AO224" s="122"/>
      <c r="AP224" s="122"/>
      <c r="AQ224" s="124"/>
    </row>
    <row r="225" spans="1:43" ht="15.75" customHeight="1">
      <c r="A225" s="122"/>
      <c r="B225" s="122"/>
      <c r="C225" s="122"/>
      <c r="D225" s="122"/>
      <c r="E225" s="122"/>
      <c r="F225" s="122"/>
      <c r="G225" s="122"/>
      <c r="H225" s="122"/>
      <c r="I225" s="122"/>
      <c r="J225" s="122"/>
      <c r="K225" s="122"/>
      <c r="L225" s="122"/>
      <c r="M225" s="123"/>
      <c r="N225" s="123"/>
      <c r="O225" s="122"/>
      <c r="P225" s="124"/>
      <c r="Q225" s="122"/>
      <c r="R225" s="122"/>
      <c r="S225" s="122"/>
      <c r="T225" s="122"/>
      <c r="U225" s="122"/>
      <c r="V225" s="124"/>
      <c r="W225" s="125"/>
      <c r="X225" s="122"/>
      <c r="Y225" s="122"/>
      <c r="Z225" s="122"/>
      <c r="AA225" s="126"/>
      <c r="AB225" s="122"/>
      <c r="AC225" s="122"/>
      <c r="AD225" s="127"/>
      <c r="AE225" s="127"/>
      <c r="AF225" s="127"/>
      <c r="AG225" s="127"/>
      <c r="AH225" s="124"/>
      <c r="AI225" s="127"/>
      <c r="AJ225" s="127"/>
      <c r="AK225" s="126"/>
      <c r="AL225" s="122"/>
      <c r="AM225" s="122"/>
      <c r="AN225" s="122"/>
      <c r="AO225" s="122"/>
      <c r="AP225" s="122"/>
      <c r="AQ225" s="124"/>
    </row>
    <row r="226" spans="1:43" ht="15.75" customHeight="1">
      <c r="A226" s="122"/>
      <c r="B226" s="122"/>
      <c r="C226" s="122"/>
      <c r="D226" s="122"/>
      <c r="E226" s="122"/>
      <c r="F226" s="122"/>
      <c r="G226" s="122"/>
      <c r="H226" s="122"/>
      <c r="I226" s="122"/>
      <c r="J226" s="122"/>
      <c r="K226" s="122"/>
      <c r="L226" s="122"/>
      <c r="M226" s="123"/>
      <c r="N226" s="123"/>
      <c r="O226" s="122"/>
      <c r="P226" s="124"/>
      <c r="Q226" s="122"/>
      <c r="R226" s="122"/>
      <c r="S226" s="122"/>
      <c r="T226" s="122"/>
      <c r="U226" s="122"/>
      <c r="V226" s="124"/>
      <c r="W226" s="125"/>
      <c r="X226" s="122"/>
      <c r="Y226" s="122"/>
      <c r="Z226" s="122"/>
      <c r="AA226" s="126"/>
      <c r="AB226" s="122"/>
      <c r="AC226" s="122"/>
      <c r="AD226" s="127"/>
      <c r="AE226" s="127"/>
      <c r="AF226" s="127"/>
      <c r="AG226" s="127"/>
      <c r="AH226" s="124"/>
      <c r="AI226" s="127"/>
      <c r="AJ226" s="127"/>
      <c r="AK226" s="126"/>
      <c r="AL226" s="122"/>
      <c r="AM226" s="122"/>
      <c r="AN226" s="122"/>
      <c r="AO226" s="122"/>
      <c r="AP226" s="122"/>
      <c r="AQ226" s="124"/>
    </row>
    <row r="227" spans="1:43" ht="15.75" customHeight="1">
      <c r="A227" s="122"/>
      <c r="B227" s="122"/>
      <c r="C227" s="122"/>
      <c r="D227" s="122"/>
      <c r="E227" s="122"/>
      <c r="F227" s="122"/>
      <c r="G227" s="122"/>
      <c r="H227" s="122"/>
      <c r="I227" s="122"/>
      <c r="J227" s="122"/>
      <c r="K227" s="122"/>
      <c r="L227" s="122"/>
      <c r="M227" s="123"/>
      <c r="N227" s="123"/>
      <c r="O227" s="122"/>
      <c r="P227" s="124"/>
      <c r="Q227" s="122"/>
      <c r="R227" s="122"/>
      <c r="S227" s="122"/>
      <c r="T227" s="122"/>
      <c r="U227" s="122"/>
      <c r="V227" s="124"/>
      <c r="W227" s="125"/>
      <c r="X227" s="122"/>
      <c r="Y227" s="122"/>
      <c r="Z227" s="122"/>
      <c r="AA227" s="126"/>
      <c r="AB227" s="122"/>
      <c r="AC227" s="122"/>
      <c r="AD227" s="127"/>
      <c r="AE227" s="127"/>
      <c r="AF227" s="127"/>
      <c r="AG227" s="127"/>
      <c r="AH227" s="124"/>
      <c r="AI227" s="127"/>
      <c r="AJ227" s="127"/>
      <c r="AK227" s="126"/>
      <c r="AL227" s="122"/>
      <c r="AM227" s="122"/>
      <c r="AN227" s="122"/>
      <c r="AO227" s="122"/>
      <c r="AP227" s="122"/>
      <c r="AQ227" s="124"/>
    </row>
    <row r="228" spans="1:43" ht="15.75" customHeight="1">
      <c r="A228" s="122"/>
      <c r="B228" s="122"/>
      <c r="C228" s="122"/>
      <c r="D228" s="122"/>
      <c r="E228" s="122"/>
      <c r="F228" s="122"/>
      <c r="G228" s="122"/>
      <c r="H228" s="122"/>
      <c r="I228" s="122"/>
      <c r="J228" s="122"/>
      <c r="K228" s="122"/>
      <c r="L228" s="122"/>
      <c r="M228" s="123"/>
      <c r="N228" s="123"/>
      <c r="O228" s="122"/>
      <c r="P228" s="124"/>
      <c r="Q228" s="122"/>
      <c r="R228" s="122"/>
      <c r="S228" s="122"/>
      <c r="T228" s="122"/>
      <c r="U228" s="122"/>
      <c r="V228" s="124"/>
      <c r="W228" s="125"/>
      <c r="X228" s="122"/>
      <c r="Y228" s="122"/>
      <c r="Z228" s="122"/>
      <c r="AA228" s="126"/>
      <c r="AB228" s="122"/>
      <c r="AC228" s="122"/>
      <c r="AD228" s="127"/>
      <c r="AE228" s="127"/>
      <c r="AF228" s="127"/>
      <c r="AG228" s="127"/>
      <c r="AH228" s="124"/>
      <c r="AI228" s="127"/>
      <c r="AJ228" s="127"/>
      <c r="AK228" s="126"/>
      <c r="AL228" s="122"/>
      <c r="AM228" s="122"/>
      <c r="AN228" s="122"/>
      <c r="AO228" s="122"/>
      <c r="AP228" s="122"/>
      <c r="AQ228" s="124"/>
    </row>
    <row r="229" spans="1:43" ht="15.75" customHeight="1">
      <c r="A229" s="122"/>
      <c r="B229" s="122"/>
      <c r="C229" s="122"/>
      <c r="D229" s="122"/>
      <c r="E229" s="122"/>
      <c r="F229" s="122"/>
      <c r="G229" s="122"/>
      <c r="H229" s="122"/>
      <c r="I229" s="122"/>
      <c r="J229" s="122"/>
      <c r="K229" s="122"/>
      <c r="L229" s="122"/>
      <c r="M229" s="123"/>
      <c r="N229" s="123"/>
      <c r="O229" s="122"/>
      <c r="P229" s="124"/>
      <c r="Q229" s="122"/>
      <c r="R229" s="122"/>
      <c r="S229" s="122"/>
      <c r="T229" s="122"/>
      <c r="U229" s="122"/>
      <c r="V229" s="124"/>
      <c r="W229" s="125"/>
      <c r="X229" s="122"/>
      <c r="Y229" s="122"/>
      <c r="Z229" s="122"/>
      <c r="AA229" s="126"/>
      <c r="AB229" s="122"/>
      <c r="AC229" s="122"/>
      <c r="AD229" s="127"/>
      <c r="AE229" s="127"/>
      <c r="AF229" s="127"/>
      <c r="AG229" s="127"/>
      <c r="AH229" s="124"/>
      <c r="AI229" s="127"/>
      <c r="AJ229" s="127"/>
      <c r="AK229" s="126"/>
      <c r="AL229" s="122"/>
      <c r="AM229" s="122"/>
      <c r="AN229" s="122"/>
      <c r="AO229" s="122"/>
      <c r="AP229" s="122"/>
      <c r="AQ229" s="124"/>
    </row>
    <row r="230" spans="1:43" ht="15.75" customHeight="1">
      <c r="A230" s="122"/>
      <c r="B230" s="122"/>
      <c r="C230" s="122"/>
      <c r="D230" s="122"/>
      <c r="E230" s="122"/>
      <c r="F230" s="122"/>
      <c r="G230" s="122"/>
      <c r="H230" s="122"/>
      <c r="I230" s="122"/>
      <c r="J230" s="122"/>
      <c r="K230" s="122"/>
      <c r="L230" s="122"/>
      <c r="M230" s="123"/>
      <c r="N230" s="123"/>
      <c r="O230" s="122"/>
      <c r="P230" s="124"/>
      <c r="Q230" s="122"/>
      <c r="R230" s="122"/>
      <c r="S230" s="122"/>
      <c r="T230" s="122"/>
      <c r="U230" s="122"/>
      <c r="V230" s="124"/>
      <c r="W230" s="125"/>
      <c r="X230" s="122"/>
      <c r="Y230" s="122"/>
      <c r="Z230" s="122"/>
      <c r="AA230" s="126"/>
      <c r="AB230" s="122"/>
      <c r="AC230" s="122"/>
      <c r="AD230" s="127"/>
      <c r="AE230" s="127"/>
      <c r="AF230" s="127"/>
      <c r="AG230" s="127"/>
      <c r="AH230" s="124"/>
      <c r="AI230" s="127"/>
      <c r="AJ230" s="127"/>
      <c r="AK230" s="126"/>
      <c r="AL230" s="122"/>
      <c r="AM230" s="122"/>
      <c r="AN230" s="122"/>
      <c r="AO230" s="122"/>
      <c r="AP230" s="122"/>
      <c r="AQ230" s="124"/>
    </row>
    <row r="231" spans="1:43" ht="15.75" customHeight="1">
      <c r="A231" s="122"/>
      <c r="B231" s="122"/>
      <c r="C231" s="122"/>
      <c r="D231" s="122"/>
      <c r="E231" s="122"/>
      <c r="F231" s="122"/>
      <c r="G231" s="122"/>
      <c r="H231" s="122"/>
      <c r="I231" s="122"/>
      <c r="J231" s="122"/>
      <c r="K231" s="122"/>
      <c r="L231" s="122"/>
      <c r="M231" s="123"/>
      <c r="N231" s="123"/>
      <c r="O231" s="122"/>
      <c r="P231" s="124"/>
      <c r="Q231" s="122"/>
      <c r="R231" s="122"/>
      <c r="S231" s="122"/>
      <c r="T231" s="122"/>
      <c r="U231" s="122"/>
      <c r="V231" s="124"/>
      <c r="W231" s="125"/>
      <c r="X231" s="122"/>
      <c r="Y231" s="122"/>
      <c r="Z231" s="122"/>
      <c r="AA231" s="126"/>
      <c r="AB231" s="122"/>
      <c r="AC231" s="122"/>
      <c r="AD231" s="127"/>
      <c r="AE231" s="127"/>
      <c r="AF231" s="127"/>
      <c r="AG231" s="127"/>
      <c r="AH231" s="124"/>
      <c r="AI231" s="127"/>
      <c r="AJ231" s="127"/>
      <c r="AK231" s="126"/>
      <c r="AL231" s="122"/>
      <c r="AM231" s="122"/>
      <c r="AN231" s="122"/>
      <c r="AO231" s="122"/>
      <c r="AP231" s="122"/>
      <c r="AQ231" s="124"/>
    </row>
    <row r="232" spans="1:43" ht="15.75" customHeight="1">
      <c r="A232" s="122"/>
      <c r="B232" s="122"/>
      <c r="C232" s="122"/>
      <c r="D232" s="122"/>
      <c r="E232" s="122"/>
      <c r="F232" s="122"/>
      <c r="G232" s="122"/>
      <c r="H232" s="122"/>
      <c r="I232" s="122"/>
      <c r="J232" s="122"/>
      <c r="K232" s="122"/>
      <c r="L232" s="122"/>
      <c r="M232" s="123"/>
      <c r="N232" s="123"/>
      <c r="O232" s="122"/>
      <c r="P232" s="124"/>
      <c r="Q232" s="122"/>
      <c r="R232" s="122"/>
      <c r="S232" s="122"/>
      <c r="T232" s="122"/>
      <c r="U232" s="122"/>
      <c r="V232" s="124"/>
      <c r="W232" s="125"/>
      <c r="X232" s="122"/>
      <c r="Y232" s="122"/>
      <c r="Z232" s="122"/>
      <c r="AA232" s="126"/>
      <c r="AB232" s="122"/>
      <c r="AC232" s="122"/>
      <c r="AD232" s="127"/>
      <c r="AE232" s="127"/>
      <c r="AF232" s="127"/>
      <c r="AG232" s="127"/>
      <c r="AH232" s="124"/>
      <c r="AI232" s="127"/>
      <c r="AJ232" s="127"/>
      <c r="AK232" s="126"/>
      <c r="AL232" s="122"/>
      <c r="AM232" s="122"/>
      <c r="AN232" s="122"/>
      <c r="AO232" s="122"/>
      <c r="AP232" s="122"/>
      <c r="AQ232" s="124"/>
    </row>
    <row r="233" spans="1:43" ht="15.75" customHeight="1">
      <c r="A233" s="122"/>
      <c r="B233" s="122"/>
      <c r="C233" s="122"/>
      <c r="D233" s="122"/>
      <c r="E233" s="122"/>
      <c r="F233" s="122"/>
      <c r="G233" s="122"/>
      <c r="H233" s="122"/>
      <c r="I233" s="122"/>
      <c r="J233" s="122"/>
      <c r="K233" s="122"/>
      <c r="L233" s="122"/>
      <c r="M233" s="123"/>
      <c r="N233" s="123"/>
      <c r="O233" s="122"/>
      <c r="P233" s="124"/>
      <c r="Q233" s="122"/>
      <c r="R233" s="122"/>
      <c r="S233" s="122"/>
      <c r="T233" s="122"/>
      <c r="U233" s="122"/>
      <c r="V233" s="124"/>
      <c r="W233" s="125"/>
      <c r="X233" s="122"/>
      <c r="Y233" s="122"/>
      <c r="Z233" s="122"/>
      <c r="AA233" s="126"/>
      <c r="AB233" s="122"/>
      <c r="AC233" s="122"/>
      <c r="AD233" s="127"/>
      <c r="AE233" s="127"/>
      <c r="AF233" s="127"/>
      <c r="AG233" s="127"/>
      <c r="AH233" s="124"/>
      <c r="AI233" s="127"/>
      <c r="AJ233" s="127"/>
      <c r="AK233" s="126"/>
      <c r="AL233" s="122"/>
      <c r="AM233" s="122"/>
      <c r="AN233" s="122"/>
      <c r="AO233" s="122"/>
      <c r="AP233" s="122"/>
      <c r="AQ233" s="124"/>
    </row>
    <row r="234" spans="1:43" ht="15.75" customHeight="1">
      <c r="A234" s="122"/>
      <c r="B234" s="122"/>
      <c r="C234" s="122"/>
      <c r="D234" s="122"/>
      <c r="E234" s="122"/>
      <c r="F234" s="122"/>
      <c r="G234" s="122"/>
      <c r="H234" s="122"/>
      <c r="I234" s="122"/>
      <c r="J234" s="122"/>
      <c r="K234" s="122"/>
      <c r="L234" s="122"/>
      <c r="M234" s="123"/>
      <c r="N234" s="123"/>
      <c r="O234" s="122"/>
      <c r="P234" s="124"/>
      <c r="Q234" s="122"/>
      <c r="R234" s="122"/>
      <c r="S234" s="122"/>
      <c r="T234" s="122"/>
      <c r="U234" s="122"/>
      <c r="V234" s="124"/>
      <c r="W234" s="125"/>
      <c r="X234" s="122"/>
      <c r="Y234" s="122"/>
      <c r="Z234" s="122"/>
      <c r="AA234" s="126"/>
      <c r="AB234" s="122"/>
      <c r="AC234" s="122"/>
      <c r="AD234" s="127"/>
      <c r="AE234" s="127"/>
      <c r="AF234" s="127"/>
      <c r="AG234" s="127"/>
      <c r="AH234" s="124"/>
      <c r="AI234" s="127"/>
      <c r="AJ234" s="127"/>
      <c r="AK234" s="126"/>
      <c r="AL234" s="122"/>
      <c r="AM234" s="122"/>
      <c r="AN234" s="122"/>
      <c r="AO234" s="122"/>
      <c r="AP234" s="122"/>
      <c r="AQ234" s="124"/>
    </row>
    <row r="235" spans="1:43" ht="15.75" customHeight="1">
      <c r="A235" s="122"/>
      <c r="B235" s="122"/>
      <c r="C235" s="122"/>
      <c r="D235" s="122"/>
      <c r="E235" s="122"/>
      <c r="F235" s="122"/>
      <c r="G235" s="122"/>
      <c r="H235" s="122"/>
      <c r="I235" s="122"/>
      <c r="J235" s="122"/>
      <c r="K235" s="122"/>
      <c r="L235" s="122"/>
      <c r="M235" s="123"/>
      <c r="N235" s="123"/>
      <c r="O235" s="122"/>
      <c r="P235" s="124"/>
      <c r="Q235" s="122"/>
      <c r="R235" s="122"/>
      <c r="S235" s="122"/>
      <c r="T235" s="122"/>
      <c r="U235" s="122"/>
      <c r="V235" s="124"/>
      <c r="W235" s="125"/>
      <c r="X235" s="122"/>
      <c r="Y235" s="122"/>
      <c r="Z235" s="122"/>
      <c r="AA235" s="126"/>
      <c r="AB235" s="122"/>
      <c r="AC235" s="122"/>
      <c r="AD235" s="127"/>
      <c r="AE235" s="127"/>
      <c r="AF235" s="127"/>
      <c r="AG235" s="127"/>
      <c r="AH235" s="124"/>
      <c r="AI235" s="127"/>
      <c r="AJ235" s="127"/>
      <c r="AK235" s="126"/>
      <c r="AL235" s="122"/>
      <c r="AM235" s="122"/>
      <c r="AN235" s="122"/>
      <c r="AO235" s="122"/>
      <c r="AP235" s="122"/>
      <c r="AQ235" s="124"/>
    </row>
    <row r="236" spans="1:43" ht="15.75" customHeight="1">
      <c r="A236" s="122"/>
      <c r="B236" s="122"/>
      <c r="C236" s="122"/>
      <c r="D236" s="122"/>
      <c r="E236" s="122"/>
      <c r="F236" s="122"/>
      <c r="G236" s="122"/>
      <c r="H236" s="122"/>
      <c r="I236" s="122"/>
      <c r="J236" s="122"/>
      <c r="K236" s="122"/>
      <c r="L236" s="122"/>
      <c r="M236" s="123"/>
      <c r="N236" s="123"/>
      <c r="O236" s="122"/>
      <c r="P236" s="124"/>
      <c r="Q236" s="122"/>
      <c r="R236" s="122"/>
      <c r="S236" s="122"/>
      <c r="T236" s="122"/>
      <c r="U236" s="122"/>
      <c r="V236" s="124"/>
      <c r="W236" s="125"/>
      <c r="X236" s="122"/>
      <c r="Y236" s="122"/>
      <c r="Z236" s="122"/>
      <c r="AA236" s="126"/>
      <c r="AB236" s="122"/>
      <c r="AC236" s="122"/>
      <c r="AD236" s="127"/>
      <c r="AE236" s="127"/>
      <c r="AF236" s="127"/>
      <c r="AG236" s="127"/>
      <c r="AH236" s="124"/>
      <c r="AI236" s="127"/>
      <c r="AJ236" s="127"/>
      <c r="AK236" s="126"/>
      <c r="AL236" s="122"/>
      <c r="AM236" s="122"/>
      <c r="AN236" s="122"/>
      <c r="AO236" s="122"/>
      <c r="AP236" s="122"/>
      <c r="AQ236" s="124"/>
    </row>
    <row r="237" spans="1:43" ht="15.75" customHeight="1">
      <c r="A237" s="122"/>
      <c r="B237" s="122"/>
      <c r="C237" s="122"/>
      <c r="D237" s="122"/>
      <c r="E237" s="122"/>
      <c r="F237" s="122"/>
      <c r="G237" s="122"/>
      <c r="H237" s="122"/>
      <c r="I237" s="122"/>
      <c r="J237" s="122"/>
      <c r="K237" s="122"/>
      <c r="L237" s="122"/>
      <c r="M237" s="123"/>
      <c r="N237" s="123"/>
      <c r="O237" s="122"/>
      <c r="P237" s="124"/>
      <c r="Q237" s="122"/>
      <c r="R237" s="122"/>
      <c r="S237" s="122"/>
      <c r="T237" s="122"/>
      <c r="U237" s="122"/>
      <c r="V237" s="124"/>
      <c r="W237" s="125"/>
      <c r="X237" s="122"/>
      <c r="Y237" s="122"/>
      <c r="Z237" s="122"/>
      <c r="AA237" s="126"/>
      <c r="AB237" s="122"/>
      <c r="AC237" s="122"/>
      <c r="AD237" s="127"/>
      <c r="AE237" s="127"/>
      <c r="AF237" s="127"/>
      <c r="AG237" s="127"/>
      <c r="AH237" s="124"/>
      <c r="AI237" s="127"/>
      <c r="AJ237" s="127"/>
      <c r="AK237" s="126"/>
      <c r="AL237" s="122"/>
      <c r="AM237" s="122"/>
      <c r="AN237" s="122"/>
      <c r="AO237" s="122"/>
      <c r="AP237" s="122"/>
      <c r="AQ237" s="124"/>
    </row>
    <row r="238" spans="1:43" ht="15.75" customHeight="1">
      <c r="A238" s="122"/>
      <c r="B238" s="122"/>
      <c r="C238" s="122"/>
      <c r="D238" s="122"/>
      <c r="E238" s="122"/>
      <c r="F238" s="122"/>
      <c r="G238" s="122"/>
      <c r="H238" s="122"/>
      <c r="I238" s="122"/>
      <c r="J238" s="122"/>
      <c r="K238" s="122"/>
      <c r="L238" s="122"/>
      <c r="M238" s="123"/>
      <c r="N238" s="123"/>
      <c r="O238" s="122"/>
      <c r="P238" s="124"/>
      <c r="Q238" s="122"/>
      <c r="R238" s="122"/>
      <c r="S238" s="122"/>
      <c r="T238" s="122"/>
      <c r="U238" s="122"/>
      <c r="V238" s="124"/>
      <c r="W238" s="125"/>
      <c r="X238" s="122"/>
      <c r="Y238" s="122"/>
      <c r="Z238" s="122"/>
      <c r="AA238" s="126"/>
      <c r="AB238" s="122"/>
      <c r="AC238" s="122"/>
      <c r="AD238" s="127"/>
      <c r="AE238" s="127"/>
      <c r="AF238" s="127"/>
      <c r="AG238" s="127"/>
      <c r="AH238" s="124"/>
      <c r="AI238" s="127"/>
      <c r="AJ238" s="127"/>
      <c r="AK238" s="126"/>
      <c r="AL238" s="122"/>
      <c r="AM238" s="122"/>
      <c r="AN238" s="122"/>
      <c r="AO238" s="122"/>
      <c r="AP238" s="122"/>
      <c r="AQ238" s="124"/>
    </row>
    <row r="239" spans="1:43" ht="15.75" customHeight="1">
      <c r="A239" s="122"/>
      <c r="B239" s="122"/>
      <c r="C239" s="122"/>
      <c r="D239" s="122"/>
      <c r="E239" s="122"/>
      <c r="F239" s="122"/>
      <c r="G239" s="122"/>
      <c r="H239" s="122"/>
      <c r="I239" s="122"/>
      <c r="J239" s="122"/>
      <c r="K239" s="122"/>
      <c r="L239" s="122"/>
      <c r="M239" s="123"/>
      <c r="N239" s="123"/>
      <c r="O239" s="122"/>
      <c r="P239" s="124"/>
      <c r="Q239" s="122"/>
      <c r="R239" s="122"/>
      <c r="S239" s="122"/>
      <c r="T239" s="122"/>
      <c r="U239" s="122"/>
      <c r="V239" s="124"/>
      <c r="W239" s="125"/>
      <c r="X239" s="122"/>
      <c r="Y239" s="122"/>
      <c r="Z239" s="122"/>
      <c r="AA239" s="126"/>
      <c r="AB239" s="122"/>
      <c r="AC239" s="122"/>
      <c r="AD239" s="127"/>
      <c r="AE239" s="127"/>
      <c r="AF239" s="127"/>
      <c r="AG239" s="127"/>
      <c r="AH239" s="124"/>
      <c r="AI239" s="127"/>
      <c r="AJ239" s="127"/>
      <c r="AK239" s="126"/>
      <c r="AL239" s="122"/>
      <c r="AM239" s="122"/>
      <c r="AN239" s="122"/>
      <c r="AO239" s="122"/>
      <c r="AP239" s="122"/>
      <c r="AQ239" s="124"/>
    </row>
    <row r="240" spans="1:43" ht="15.75" customHeight="1">
      <c r="A240" s="122"/>
      <c r="B240" s="122"/>
      <c r="C240" s="122"/>
      <c r="D240" s="122"/>
      <c r="E240" s="122"/>
      <c r="F240" s="122"/>
      <c r="G240" s="122"/>
      <c r="H240" s="122"/>
      <c r="I240" s="122"/>
      <c r="J240" s="122"/>
      <c r="K240" s="122"/>
      <c r="L240" s="122"/>
      <c r="M240" s="123"/>
      <c r="N240" s="123"/>
      <c r="O240" s="122"/>
      <c r="P240" s="124"/>
      <c r="Q240" s="122"/>
      <c r="R240" s="122"/>
      <c r="S240" s="122"/>
      <c r="T240" s="122"/>
      <c r="U240" s="122"/>
      <c r="V240" s="124"/>
      <c r="W240" s="125"/>
      <c r="X240" s="122"/>
      <c r="Y240" s="122"/>
      <c r="Z240" s="122"/>
      <c r="AA240" s="126"/>
      <c r="AB240" s="122"/>
      <c r="AC240" s="122"/>
      <c r="AD240" s="127"/>
      <c r="AE240" s="127"/>
      <c r="AF240" s="127"/>
      <c r="AG240" s="127"/>
      <c r="AH240" s="124"/>
      <c r="AI240" s="127"/>
      <c r="AJ240" s="127"/>
      <c r="AK240" s="126"/>
      <c r="AL240" s="122"/>
      <c r="AM240" s="122"/>
      <c r="AN240" s="122"/>
      <c r="AO240" s="122"/>
      <c r="AP240" s="122"/>
      <c r="AQ240" s="124"/>
    </row>
    <row r="241" spans="1:43" ht="15.75" customHeight="1">
      <c r="A241" s="122"/>
      <c r="B241" s="122"/>
      <c r="C241" s="122"/>
      <c r="D241" s="122"/>
      <c r="E241" s="122"/>
      <c r="F241" s="122"/>
      <c r="G241" s="122"/>
      <c r="H241" s="122"/>
      <c r="I241" s="122"/>
      <c r="J241" s="122"/>
      <c r="K241" s="122"/>
      <c r="L241" s="122"/>
      <c r="M241" s="123"/>
      <c r="N241" s="123"/>
      <c r="O241" s="122"/>
      <c r="P241" s="124"/>
      <c r="Q241" s="122"/>
      <c r="R241" s="122"/>
      <c r="S241" s="122"/>
      <c r="T241" s="122"/>
      <c r="U241" s="122"/>
      <c r="V241" s="124"/>
      <c r="W241" s="125"/>
      <c r="X241" s="122"/>
      <c r="Y241" s="122"/>
      <c r="Z241" s="122"/>
      <c r="AA241" s="126"/>
      <c r="AB241" s="122"/>
      <c r="AC241" s="122"/>
      <c r="AD241" s="127"/>
      <c r="AE241" s="127"/>
      <c r="AF241" s="127"/>
      <c r="AG241" s="127"/>
      <c r="AH241" s="124"/>
      <c r="AI241" s="127"/>
      <c r="AJ241" s="127"/>
      <c r="AK241" s="126"/>
      <c r="AL241" s="122"/>
      <c r="AM241" s="122"/>
      <c r="AN241" s="122"/>
      <c r="AO241" s="122"/>
      <c r="AP241" s="122"/>
      <c r="AQ241" s="124"/>
    </row>
    <row r="242" spans="1:43" ht="15.75" customHeight="1">
      <c r="A242" s="122"/>
      <c r="B242" s="122"/>
      <c r="C242" s="122"/>
      <c r="D242" s="122"/>
      <c r="E242" s="122"/>
      <c r="F242" s="122"/>
      <c r="G242" s="122"/>
      <c r="H242" s="122"/>
      <c r="I242" s="122"/>
      <c r="J242" s="122"/>
      <c r="K242" s="122"/>
      <c r="L242" s="122"/>
      <c r="M242" s="123"/>
      <c r="N242" s="123"/>
      <c r="O242" s="122"/>
      <c r="P242" s="124"/>
      <c r="Q242" s="122"/>
      <c r="R242" s="122"/>
      <c r="S242" s="122"/>
      <c r="T242" s="122"/>
      <c r="U242" s="122"/>
      <c r="V242" s="124"/>
      <c r="W242" s="125"/>
      <c r="X242" s="122"/>
      <c r="Y242" s="122"/>
      <c r="Z242" s="122"/>
      <c r="AA242" s="126"/>
      <c r="AB242" s="122"/>
      <c r="AC242" s="122"/>
      <c r="AD242" s="127"/>
      <c r="AE242" s="127"/>
      <c r="AF242" s="127"/>
      <c r="AG242" s="127"/>
      <c r="AH242" s="124"/>
      <c r="AI242" s="127"/>
      <c r="AJ242" s="127"/>
      <c r="AK242" s="126"/>
      <c r="AL242" s="122"/>
      <c r="AM242" s="122"/>
      <c r="AN242" s="122"/>
      <c r="AO242" s="122"/>
      <c r="AP242" s="122"/>
      <c r="AQ242" s="124"/>
    </row>
    <row r="243" spans="1:43" ht="15.75" customHeight="1">
      <c r="A243" s="122"/>
      <c r="B243" s="122"/>
      <c r="C243" s="122"/>
      <c r="D243" s="122"/>
      <c r="E243" s="122"/>
      <c r="F243" s="122"/>
      <c r="G243" s="122"/>
      <c r="H243" s="122"/>
      <c r="I243" s="122"/>
      <c r="J243" s="122"/>
      <c r="K243" s="122"/>
      <c r="L243" s="122"/>
      <c r="M243" s="123"/>
      <c r="N243" s="123"/>
      <c r="O243" s="122"/>
      <c r="P243" s="124"/>
      <c r="Q243" s="122"/>
      <c r="R243" s="122"/>
      <c r="S243" s="122"/>
      <c r="T243" s="122"/>
      <c r="U243" s="122"/>
      <c r="V243" s="124"/>
      <c r="W243" s="125"/>
      <c r="X243" s="122"/>
      <c r="Y243" s="122"/>
      <c r="Z243" s="122"/>
      <c r="AA243" s="126"/>
      <c r="AB243" s="122"/>
      <c r="AC243" s="122"/>
      <c r="AD243" s="127"/>
      <c r="AE243" s="127"/>
      <c r="AF243" s="127"/>
      <c r="AG243" s="127"/>
      <c r="AH243" s="124"/>
      <c r="AI243" s="127"/>
      <c r="AJ243" s="127"/>
      <c r="AK243" s="126"/>
      <c r="AL243" s="122"/>
      <c r="AM243" s="122"/>
      <c r="AN243" s="122"/>
      <c r="AO243" s="122"/>
      <c r="AP243" s="122"/>
      <c r="AQ243" s="124"/>
    </row>
    <row r="244" spans="1:43" ht="15.75" customHeight="1">
      <c r="A244" s="122"/>
      <c r="B244" s="122"/>
      <c r="C244" s="122"/>
      <c r="D244" s="122"/>
      <c r="E244" s="122"/>
      <c r="F244" s="122"/>
      <c r="G244" s="122"/>
      <c r="H244" s="122"/>
      <c r="I244" s="122"/>
      <c r="J244" s="122"/>
      <c r="K244" s="122"/>
      <c r="L244" s="122"/>
      <c r="M244" s="123"/>
      <c r="N244" s="123"/>
      <c r="O244" s="122"/>
      <c r="P244" s="124"/>
      <c r="Q244" s="122"/>
      <c r="R244" s="122"/>
      <c r="S244" s="122"/>
      <c r="T244" s="122"/>
      <c r="U244" s="122"/>
      <c r="V244" s="124"/>
      <c r="W244" s="125"/>
      <c r="X244" s="122"/>
      <c r="Y244" s="122"/>
      <c r="Z244" s="122"/>
      <c r="AA244" s="126"/>
      <c r="AB244" s="122"/>
      <c r="AC244" s="122"/>
      <c r="AD244" s="127"/>
      <c r="AE244" s="127"/>
      <c r="AF244" s="127"/>
      <c r="AG244" s="127"/>
      <c r="AH244" s="124"/>
      <c r="AI244" s="127"/>
      <c r="AJ244" s="127"/>
      <c r="AK244" s="126"/>
      <c r="AL244" s="122"/>
      <c r="AM244" s="122"/>
      <c r="AN244" s="122"/>
      <c r="AO244" s="122"/>
      <c r="AP244" s="122"/>
      <c r="AQ244" s="124"/>
    </row>
    <row r="245" spans="1:43" ht="15.75" customHeight="1">
      <c r="A245" s="122"/>
      <c r="B245" s="122"/>
      <c r="C245" s="122"/>
      <c r="D245" s="122"/>
      <c r="E245" s="122"/>
      <c r="F245" s="122"/>
      <c r="G245" s="122"/>
      <c r="H245" s="122"/>
      <c r="I245" s="122"/>
      <c r="J245" s="122"/>
      <c r="K245" s="122"/>
      <c r="L245" s="122"/>
      <c r="M245" s="123"/>
      <c r="N245" s="123"/>
      <c r="O245" s="122"/>
      <c r="P245" s="124"/>
      <c r="Q245" s="122"/>
      <c r="R245" s="122"/>
      <c r="S245" s="122"/>
      <c r="T245" s="122"/>
      <c r="U245" s="122"/>
      <c r="V245" s="124"/>
      <c r="W245" s="125"/>
      <c r="X245" s="122"/>
      <c r="Y245" s="122"/>
      <c r="Z245" s="122"/>
      <c r="AA245" s="126"/>
      <c r="AB245" s="122"/>
      <c r="AC245" s="122"/>
      <c r="AD245" s="127"/>
      <c r="AE245" s="127"/>
      <c r="AF245" s="127"/>
      <c r="AG245" s="127"/>
      <c r="AH245" s="124"/>
      <c r="AI245" s="127"/>
      <c r="AJ245" s="127"/>
      <c r="AK245" s="126"/>
      <c r="AL245" s="122"/>
      <c r="AM245" s="122"/>
      <c r="AN245" s="122"/>
      <c r="AO245" s="122"/>
      <c r="AP245" s="122"/>
      <c r="AQ245" s="124"/>
    </row>
    <row r="246" spans="1:43" ht="15.75" customHeight="1">
      <c r="A246" s="122"/>
      <c r="B246" s="122"/>
      <c r="C246" s="122"/>
      <c r="D246" s="122"/>
      <c r="E246" s="122"/>
      <c r="F246" s="122"/>
      <c r="G246" s="122"/>
      <c r="H246" s="122"/>
      <c r="I246" s="122"/>
      <c r="J246" s="122"/>
      <c r="K246" s="122"/>
      <c r="L246" s="122"/>
      <c r="M246" s="123"/>
      <c r="N246" s="123"/>
      <c r="O246" s="122"/>
      <c r="P246" s="124"/>
      <c r="Q246" s="122"/>
      <c r="R246" s="122"/>
      <c r="S246" s="122"/>
      <c r="T246" s="122"/>
      <c r="U246" s="122"/>
      <c r="V246" s="124"/>
      <c r="W246" s="125"/>
      <c r="X246" s="122"/>
      <c r="Y246" s="122"/>
      <c r="Z246" s="122"/>
      <c r="AA246" s="126"/>
      <c r="AB246" s="122"/>
      <c r="AC246" s="122"/>
      <c r="AD246" s="127"/>
      <c r="AE246" s="127"/>
      <c r="AF246" s="127"/>
      <c r="AG246" s="127"/>
      <c r="AH246" s="124"/>
      <c r="AI246" s="127"/>
      <c r="AJ246" s="127"/>
      <c r="AK246" s="126"/>
      <c r="AL246" s="122"/>
      <c r="AM246" s="122"/>
      <c r="AN246" s="122"/>
      <c r="AO246" s="122"/>
      <c r="AP246" s="122"/>
      <c r="AQ246" s="124"/>
    </row>
    <row r="247" spans="1:43" ht="15.75" customHeight="1">
      <c r="A247" s="122"/>
      <c r="B247" s="122"/>
      <c r="C247" s="122"/>
      <c r="D247" s="122"/>
      <c r="E247" s="122"/>
      <c r="F247" s="122"/>
      <c r="G247" s="122"/>
      <c r="H247" s="122"/>
      <c r="I247" s="122"/>
      <c r="J247" s="122"/>
      <c r="K247" s="122"/>
      <c r="L247" s="122"/>
      <c r="M247" s="123"/>
      <c r="N247" s="123"/>
      <c r="O247" s="122"/>
      <c r="P247" s="124"/>
      <c r="Q247" s="122"/>
      <c r="R247" s="122"/>
      <c r="S247" s="122"/>
      <c r="T247" s="122"/>
      <c r="U247" s="122"/>
      <c r="V247" s="124"/>
      <c r="W247" s="125"/>
      <c r="X247" s="122"/>
      <c r="Y247" s="122"/>
      <c r="Z247" s="122"/>
      <c r="AA247" s="126"/>
      <c r="AB247" s="122"/>
      <c r="AC247" s="122"/>
      <c r="AD247" s="127"/>
      <c r="AE247" s="127"/>
      <c r="AF247" s="127"/>
      <c r="AG247" s="127"/>
      <c r="AH247" s="124"/>
      <c r="AI247" s="127"/>
      <c r="AJ247" s="127"/>
      <c r="AK247" s="126"/>
      <c r="AL247" s="122"/>
      <c r="AM247" s="122"/>
      <c r="AN247" s="122"/>
      <c r="AO247" s="122"/>
      <c r="AP247" s="122"/>
      <c r="AQ247" s="124"/>
    </row>
    <row r="248" spans="1:43" ht="15.75" customHeight="1">
      <c r="A248" s="122"/>
      <c r="B248" s="122"/>
      <c r="C248" s="122"/>
      <c r="D248" s="122"/>
      <c r="E248" s="122"/>
      <c r="F248" s="122"/>
      <c r="G248" s="122"/>
      <c r="H248" s="122"/>
      <c r="I248" s="122"/>
      <c r="J248" s="122"/>
      <c r="K248" s="122"/>
      <c r="L248" s="122"/>
      <c r="M248" s="123"/>
      <c r="N248" s="123"/>
      <c r="O248" s="122"/>
      <c r="P248" s="124"/>
      <c r="Q248" s="122"/>
      <c r="R248" s="122"/>
      <c r="S248" s="122"/>
      <c r="T248" s="122"/>
      <c r="U248" s="122"/>
      <c r="V248" s="124"/>
      <c r="W248" s="125"/>
      <c r="X248" s="122"/>
      <c r="Y248" s="122"/>
      <c r="Z248" s="122"/>
      <c r="AA248" s="126"/>
      <c r="AB248" s="122"/>
      <c r="AC248" s="122"/>
      <c r="AD248" s="127"/>
      <c r="AE248" s="127"/>
      <c r="AF248" s="127"/>
      <c r="AG248" s="127"/>
      <c r="AH248" s="124"/>
      <c r="AI248" s="127"/>
      <c r="AJ248" s="127"/>
      <c r="AK248" s="126"/>
      <c r="AL248" s="122"/>
      <c r="AM248" s="122"/>
      <c r="AN248" s="122"/>
      <c r="AO248" s="122"/>
      <c r="AP248" s="122"/>
      <c r="AQ248" s="124"/>
    </row>
    <row r="249" spans="1:43" ht="15.75" customHeight="1">
      <c r="A249" s="122"/>
      <c r="B249" s="122"/>
      <c r="C249" s="122"/>
      <c r="D249" s="122"/>
      <c r="E249" s="122"/>
      <c r="F249" s="122"/>
      <c r="G249" s="122"/>
      <c r="H249" s="122"/>
      <c r="I249" s="122"/>
      <c r="J249" s="122"/>
      <c r="K249" s="122"/>
      <c r="L249" s="122"/>
      <c r="M249" s="123"/>
      <c r="N249" s="123"/>
      <c r="O249" s="122"/>
      <c r="P249" s="124"/>
      <c r="Q249" s="122"/>
      <c r="R249" s="122"/>
      <c r="S249" s="122"/>
      <c r="T249" s="122"/>
      <c r="U249" s="122"/>
      <c r="V249" s="124"/>
      <c r="W249" s="125"/>
      <c r="X249" s="122"/>
      <c r="Y249" s="122"/>
      <c r="Z249" s="122"/>
      <c r="AA249" s="126"/>
      <c r="AB249" s="122"/>
      <c r="AC249" s="122"/>
      <c r="AD249" s="127"/>
      <c r="AE249" s="127"/>
      <c r="AF249" s="127"/>
      <c r="AG249" s="127"/>
      <c r="AH249" s="124"/>
      <c r="AI249" s="127"/>
      <c r="AJ249" s="127"/>
      <c r="AK249" s="126"/>
      <c r="AL249" s="122"/>
      <c r="AM249" s="122"/>
      <c r="AN249" s="122"/>
      <c r="AO249" s="122"/>
      <c r="AP249" s="122"/>
      <c r="AQ249" s="124"/>
    </row>
    <row r="250" spans="1:43" ht="15.75" customHeight="1">
      <c r="A250" s="122"/>
      <c r="B250" s="122"/>
      <c r="C250" s="122"/>
      <c r="D250" s="122"/>
      <c r="E250" s="122"/>
      <c r="F250" s="122"/>
      <c r="G250" s="122"/>
      <c r="H250" s="122"/>
      <c r="I250" s="122"/>
      <c r="J250" s="122"/>
      <c r="K250" s="122"/>
      <c r="L250" s="122"/>
      <c r="M250" s="123"/>
      <c r="N250" s="123"/>
      <c r="O250" s="122"/>
      <c r="P250" s="124"/>
      <c r="Q250" s="122"/>
      <c r="R250" s="122"/>
      <c r="S250" s="122"/>
      <c r="T250" s="122"/>
      <c r="U250" s="122"/>
      <c r="V250" s="124"/>
      <c r="W250" s="125"/>
      <c r="X250" s="122"/>
      <c r="Y250" s="122"/>
      <c r="Z250" s="122"/>
      <c r="AA250" s="126"/>
      <c r="AB250" s="122"/>
      <c r="AC250" s="122"/>
      <c r="AD250" s="127"/>
      <c r="AE250" s="127"/>
      <c r="AF250" s="127"/>
      <c r="AG250" s="127"/>
      <c r="AH250" s="124"/>
      <c r="AI250" s="127"/>
      <c r="AJ250" s="127"/>
      <c r="AK250" s="126"/>
      <c r="AL250" s="122"/>
      <c r="AM250" s="122"/>
      <c r="AN250" s="122"/>
      <c r="AO250" s="122"/>
      <c r="AP250" s="122"/>
      <c r="AQ250" s="124"/>
    </row>
    <row r="251" spans="1:43" ht="15.75" customHeight="1">
      <c r="A251" s="122"/>
      <c r="B251" s="122"/>
      <c r="C251" s="122"/>
      <c r="D251" s="122"/>
      <c r="E251" s="122"/>
      <c r="F251" s="122"/>
      <c r="G251" s="122"/>
      <c r="H251" s="122"/>
      <c r="I251" s="122"/>
      <c r="J251" s="122"/>
      <c r="K251" s="122"/>
      <c r="L251" s="122"/>
      <c r="M251" s="123"/>
      <c r="N251" s="123"/>
      <c r="O251" s="122"/>
      <c r="P251" s="124"/>
      <c r="Q251" s="122"/>
      <c r="R251" s="122"/>
      <c r="S251" s="122"/>
      <c r="T251" s="122"/>
      <c r="U251" s="122"/>
      <c r="V251" s="124"/>
      <c r="W251" s="125"/>
      <c r="X251" s="122"/>
      <c r="Y251" s="122"/>
      <c r="Z251" s="122"/>
      <c r="AA251" s="126"/>
      <c r="AB251" s="122"/>
      <c r="AC251" s="122"/>
      <c r="AD251" s="127"/>
      <c r="AE251" s="127"/>
      <c r="AF251" s="127"/>
      <c r="AG251" s="127"/>
      <c r="AH251" s="124"/>
      <c r="AI251" s="127"/>
      <c r="AJ251" s="127"/>
      <c r="AK251" s="126"/>
      <c r="AL251" s="122"/>
      <c r="AM251" s="122"/>
      <c r="AN251" s="122"/>
      <c r="AO251" s="122"/>
      <c r="AP251" s="122"/>
      <c r="AQ251" s="124"/>
    </row>
    <row r="252" spans="1:43" ht="15.75" customHeight="1">
      <c r="A252" s="122"/>
      <c r="B252" s="122"/>
      <c r="C252" s="122"/>
      <c r="D252" s="122"/>
      <c r="E252" s="122"/>
      <c r="F252" s="122"/>
      <c r="G252" s="122"/>
      <c r="H252" s="122"/>
      <c r="I252" s="122"/>
      <c r="J252" s="122"/>
      <c r="K252" s="122"/>
      <c r="L252" s="122"/>
      <c r="M252" s="123"/>
      <c r="N252" s="123"/>
      <c r="O252" s="122"/>
      <c r="P252" s="124"/>
      <c r="Q252" s="122"/>
      <c r="R252" s="122"/>
      <c r="S252" s="122"/>
      <c r="T252" s="122"/>
      <c r="U252" s="122"/>
      <c r="V252" s="124"/>
      <c r="W252" s="125"/>
      <c r="X252" s="122"/>
      <c r="Y252" s="122"/>
      <c r="Z252" s="122"/>
      <c r="AA252" s="126"/>
      <c r="AB252" s="122"/>
      <c r="AC252" s="122"/>
      <c r="AD252" s="127"/>
      <c r="AE252" s="127"/>
      <c r="AF252" s="127"/>
      <c r="AG252" s="127"/>
      <c r="AH252" s="124"/>
      <c r="AI252" s="127"/>
      <c r="AJ252" s="127"/>
      <c r="AK252" s="126"/>
      <c r="AL252" s="122"/>
      <c r="AM252" s="122"/>
      <c r="AN252" s="122"/>
      <c r="AO252" s="122"/>
      <c r="AP252" s="122"/>
      <c r="AQ252" s="124"/>
    </row>
    <row r="253" spans="1:43" ht="15.75" customHeight="1">
      <c r="A253" s="122"/>
      <c r="B253" s="122"/>
      <c r="C253" s="122"/>
      <c r="D253" s="122"/>
      <c r="E253" s="122"/>
      <c r="F253" s="122"/>
      <c r="G253" s="122"/>
      <c r="H253" s="122"/>
      <c r="I253" s="122"/>
      <c r="J253" s="122"/>
      <c r="K253" s="122"/>
      <c r="L253" s="122"/>
      <c r="M253" s="123"/>
      <c r="N253" s="123"/>
      <c r="O253" s="122"/>
      <c r="P253" s="124"/>
      <c r="Q253" s="122"/>
      <c r="R253" s="122"/>
      <c r="S253" s="122"/>
      <c r="T253" s="122"/>
      <c r="U253" s="122"/>
      <c r="V253" s="124"/>
      <c r="W253" s="125"/>
      <c r="X253" s="122"/>
      <c r="Y253" s="122"/>
      <c r="Z253" s="122"/>
      <c r="AA253" s="126"/>
      <c r="AB253" s="122"/>
      <c r="AC253" s="122"/>
      <c r="AD253" s="127"/>
      <c r="AE253" s="127"/>
      <c r="AF253" s="127"/>
      <c r="AG253" s="127"/>
      <c r="AH253" s="124"/>
      <c r="AI253" s="127"/>
      <c r="AJ253" s="127"/>
      <c r="AK253" s="126"/>
      <c r="AL253" s="122"/>
      <c r="AM253" s="122"/>
      <c r="AN253" s="122"/>
      <c r="AO253" s="122"/>
      <c r="AP253" s="122"/>
      <c r="AQ253" s="124"/>
    </row>
    <row r="254" spans="1:43" ht="15.75" customHeight="1">
      <c r="A254" s="122"/>
      <c r="B254" s="122"/>
      <c r="C254" s="122"/>
      <c r="D254" s="122"/>
      <c r="E254" s="122"/>
      <c r="F254" s="122"/>
      <c r="G254" s="122"/>
      <c r="H254" s="122"/>
      <c r="I254" s="122"/>
      <c r="J254" s="122"/>
      <c r="K254" s="122"/>
      <c r="L254" s="122"/>
      <c r="M254" s="123"/>
      <c r="N254" s="123"/>
      <c r="O254" s="122"/>
      <c r="P254" s="124"/>
      <c r="Q254" s="122"/>
      <c r="R254" s="122"/>
      <c r="S254" s="122"/>
      <c r="T254" s="122"/>
      <c r="U254" s="122"/>
      <c r="V254" s="124"/>
      <c r="W254" s="125"/>
      <c r="X254" s="122"/>
      <c r="Y254" s="122"/>
      <c r="Z254" s="122"/>
      <c r="AA254" s="126"/>
      <c r="AB254" s="122"/>
      <c r="AC254" s="122"/>
      <c r="AD254" s="127"/>
      <c r="AE254" s="127"/>
      <c r="AF254" s="127"/>
      <c r="AG254" s="127"/>
      <c r="AH254" s="124"/>
      <c r="AI254" s="127"/>
      <c r="AJ254" s="127"/>
      <c r="AK254" s="126"/>
      <c r="AL254" s="122"/>
      <c r="AM254" s="122"/>
      <c r="AN254" s="122"/>
      <c r="AO254" s="122"/>
      <c r="AP254" s="122"/>
      <c r="AQ254" s="124"/>
    </row>
    <row r="255" spans="1:43" ht="15.75" customHeight="1">
      <c r="A255" s="122"/>
      <c r="B255" s="122"/>
      <c r="C255" s="122"/>
      <c r="D255" s="122"/>
      <c r="E255" s="122"/>
      <c r="F255" s="122"/>
      <c r="G255" s="122"/>
      <c r="H255" s="122"/>
      <c r="I255" s="122"/>
      <c r="J255" s="122"/>
      <c r="K255" s="122"/>
      <c r="L255" s="122"/>
      <c r="M255" s="123"/>
      <c r="N255" s="123"/>
      <c r="O255" s="122"/>
      <c r="P255" s="124"/>
      <c r="Q255" s="122"/>
      <c r="R255" s="122"/>
      <c r="S255" s="122"/>
      <c r="T255" s="122"/>
      <c r="U255" s="122"/>
      <c r="V255" s="124"/>
      <c r="W255" s="125"/>
      <c r="X255" s="122"/>
      <c r="Y255" s="122"/>
      <c r="Z255" s="122"/>
      <c r="AA255" s="126"/>
      <c r="AB255" s="122"/>
      <c r="AC255" s="122"/>
      <c r="AD255" s="127"/>
      <c r="AE255" s="127"/>
      <c r="AF255" s="127"/>
      <c r="AG255" s="127"/>
      <c r="AH255" s="124"/>
      <c r="AI255" s="127"/>
      <c r="AJ255" s="127"/>
      <c r="AK255" s="126"/>
      <c r="AL255" s="122"/>
      <c r="AM255" s="122"/>
      <c r="AN255" s="122"/>
      <c r="AO255" s="122"/>
      <c r="AP255" s="122"/>
      <c r="AQ255" s="124"/>
    </row>
    <row r="256" spans="1:43" ht="15.75" customHeight="1">
      <c r="A256" s="122"/>
      <c r="B256" s="122"/>
      <c r="C256" s="122"/>
      <c r="D256" s="122"/>
      <c r="E256" s="122"/>
      <c r="F256" s="122"/>
      <c r="G256" s="122"/>
      <c r="H256" s="122"/>
      <c r="I256" s="122"/>
      <c r="J256" s="122"/>
      <c r="K256" s="122"/>
      <c r="L256" s="122"/>
      <c r="M256" s="123"/>
      <c r="N256" s="123"/>
      <c r="O256" s="122"/>
      <c r="P256" s="124"/>
      <c r="Q256" s="122"/>
      <c r="R256" s="122"/>
      <c r="S256" s="122"/>
      <c r="T256" s="122"/>
      <c r="U256" s="122"/>
      <c r="V256" s="124"/>
      <c r="W256" s="125"/>
      <c r="X256" s="122"/>
      <c r="Y256" s="122"/>
      <c r="Z256" s="122"/>
      <c r="AA256" s="126"/>
      <c r="AB256" s="122"/>
      <c r="AC256" s="122"/>
      <c r="AD256" s="127"/>
      <c r="AE256" s="127"/>
      <c r="AF256" s="127"/>
      <c r="AG256" s="127"/>
      <c r="AH256" s="124"/>
      <c r="AI256" s="127"/>
      <c r="AJ256" s="127"/>
      <c r="AK256" s="126"/>
      <c r="AL256" s="122"/>
      <c r="AM256" s="122"/>
      <c r="AN256" s="122"/>
      <c r="AO256" s="122"/>
      <c r="AP256" s="122"/>
      <c r="AQ256" s="124"/>
    </row>
    <row r="257" spans="1:43" ht="15.75" customHeight="1">
      <c r="A257" s="122"/>
      <c r="B257" s="122"/>
      <c r="C257" s="122"/>
      <c r="D257" s="122"/>
      <c r="E257" s="122"/>
      <c r="F257" s="122"/>
      <c r="G257" s="122"/>
      <c r="H257" s="122"/>
      <c r="I257" s="122"/>
      <c r="J257" s="122"/>
      <c r="K257" s="122"/>
      <c r="L257" s="122"/>
      <c r="M257" s="123"/>
      <c r="N257" s="123"/>
      <c r="O257" s="122"/>
      <c r="P257" s="124"/>
      <c r="Q257" s="122"/>
      <c r="R257" s="122"/>
      <c r="S257" s="122"/>
      <c r="T257" s="122"/>
      <c r="U257" s="122"/>
      <c r="V257" s="124"/>
      <c r="W257" s="125"/>
      <c r="X257" s="122"/>
      <c r="Y257" s="122"/>
      <c r="Z257" s="122"/>
      <c r="AA257" s="126"/>
      <c r="AB257" s="122"/>
      <c r="AC257" s="122"/>
      <c r="AD257" s="127"/>
      <c r="AE257" s="127"/>
      <c r="AF257" s="127"/>
      <c r="AG257" s="127"/>
      <c r="AH257" s="124"/>
      <c r="AI257" s="127"/>
      <c r="AJ257" s="127"/>
      <c r="AK257" s="126"/>
      <c r="AL257" s="122"/>
      <c r="AM257" s="122"/>
      <c r="AN257" s="122"/>
      <c r="AO257" s="122"/>
      <c r="AP257" s="122"/>
      <c r="AQ257" s="124"/>
    </row>
    <row r="258" spans="1:43" ht="15.75" customHeight="1">
      <c r="A258" s="122"/>
      <c r="B258" s="122"/>
      <c r="C258" s="122"/>
      <c r="D258" s="122"/>
      <c r="E258" s="122"/>
      <c r="F258" s="122"/>
      <c r="G258" s="122"/>
      <c r="H258" s="122"/>
      <c r="I258" s="122"/>
      <c r="J258" s="122"/>
      <c r="K258" s="122"/>
      <c r="L258" s="122"/>
      <c r="M258" s="123"/>
      <c r="N258" s="123"/>
      <c r="O258" s="122"/>
      <c r="P258" s="124"/>
      <c r="Q258" s="122"/>
      <c r="R258" s="122"/>
      <c r="S258" s="122"/>
      <c r="T258" s="122"/>
      <c r="U258" s="122"/>
      <c r="V258" s="124"/>
      <c r="W258" s="125"/>
      <c r="X258" s="122"/>
      <c r="Y258" s="122"/>
      <c r="Z258" s="122"/>
      <c r="AA258" s="126"/>
      <c r="AB258" s="122"/>
      <c r="AC258" s="122"/>
      <c r="AD258" s="127"/>
      <c r="AE258" s="127"/>
      <c r="AF258" s="127"/>
      <c r="AG258" s="127"/>
      <c r="AH258" s="124"/>
      <c r="AI258" s="127"/>
      <c r="AJ258" s="127"/>
      <c r="AK258" s="126"/>
      <c r="AL258" s="122"/>
      <c r="AM258" s="122"/>
      <c r="AN258" s="122"/>
      <c r="AO258" s="122"/>
      <c r="AP258" s="122"/>
      <c r="AQ258" s="124"/>
    </row>
    <row r="259" spans="1:43" ht="15.75" customHeight="1">
      <c r="A259" s="122"/>
      <c r="B259" s="122"/>
      <c r="C259" s="122"/>
      <c r="D259" s="122"/>
      <c r="E259" s="122"/>
      <c r="F259" s="122"/>
      <c r="G259" s="122"/>
      <c r="H259" s="122"/>
      <c r="I259" s="122"/>
      <c r="J259" s="122"/>
      <c r="K259" s="122"/>
      <c r="L259" s="122"/>
      <c r="M259" s="123"/>
      <c r="N259" s="123"/>
      <c r="O259" s="122"/>
      <c r="P259" s="124"/>
      <c r="Q259" s="122"/>
      <c r="R259" s="122"/>
      <c r="S259" s="122"/>
      <c r="T259" s="122"/>
      <c r="U259" s="122"/>
      <c r="V259" s="124"/>
      <c r="W259" s="125"/>
      <c r="X259" s="122"/>
      <c r="Y259" s="122"/>
      <c r="Z259" s="122"/>
      <c r="AA259" s="126"/>
      <c r="AB259" s="122"/>
      <c r="AC259" s="122"/>
      <c r="AD259" s="127"/>
      <c r="AE259" s="127"/>
      <c r="AF259" s="127"/>
      <c r="AG259" s="127"/>
      <c r="AH259" s="124"/>
      <c r="AI259" s="127"/>
      <c r="AJ259" s="127"/>
      <c r="AK259" s="126"/>
      <c r="AL259" s="122"/>
      <c r="AM259" s="122"/>
      <c r="AN259" s="122"/>
      <c r="AO259" s="122"/>
      <c r="AP259" s="122"/>
      <c r="AQ259" s="124"/>
    </row>
    <row r="260" spans="1:43" ht="15.75" customHeight="1">
      <c r="A260" s="122"/>
      <c r="B260" s="122"/>
      <c r="C260" s="122"/>
      <c r="D260" s="122"/>
      <c r="E260" s="122"/>
      <c r="F260" s="122"/>
      <c r="G260" s="122"/>
      <c r="H260" s="122"/>
      <c r="I260" s="122"/>
      <c r="J260" s="122"/>
      <c r="K260" s="122"/>
      <c r="L260" s="122"/>
      <c r="M260" s="123"/>
      <c r="N260" s="123"/>
      <c r="O260" s="122"/>
      <c r="P260" s="124"/>
      <c r="Q260" s="122"/>
      <c r="R260" s="122"/>
      <c r="S260" s="122"/>
      <c r="T260" s="122"/>
      <c r="U260" s="122"/>
      <c r="V260" s="124"/>
      <c r="W260" s="125"/>
      <c r="X260" s="122"/>
      <c r="Y260" s="122"/>
      <c r="Z260" s="122"/>
      <c r="AA260" s="126"/>
      <c r="AB260" s="122"/>
      <c r="AC260" s="122"/>
      <c r="AD260" s="127"/>
      <c r="AE260" s="127"/>
      <c r="AF260" s="127"/>
      <c r="AG260" s="127"/>
      <c r="AH260" s="124"/>
      <c r="AI260" s="127"/>
      <c r="AJ260" s="127"/>
      <c r="AK260" s="126"/>
      <c r="AL260" s="122"/>
      <c r="AM260" s="122"/>
      <c r="AN260" s="122"/>
      <c r="AO260" s="122"/>
      <c r="AP260" s="122"/>
      <c r="AQ260" s="124"/>
    </row>
    <row r="261" spans="1:43" ht="15.75" customHeight="1">
      <c r="A261" s="122"/>
      <c r="B261" s="122"/>
      <c r="C261" s="122"/>
      <c r="D261" s="122"/>
      <c r="E261" s="122"/>
      <c r="F261" s="122"/>
      <c r="G261" s="122"/>
      <c r="H261" s="122"/>
      <c r="I261" s="122"/>
      <c r="J261" s="122"/>
      <c r="K261" s="122"/>
      <c r="L261" s="122"/>
      <c r="M261" s="123"/>
      <c r="N261" s="123"/>
      <c r="O261" s="122"/>
      <c r="P261" s="124"/>
      <c r="Q261" s="122"/>
      <c r="R261" s="122"/>
      <c r="S261" s="122"/>
      <c r="T261" s="122"/>
      <c r="U261" s="122"/>
      <c r="V261" s="124"/>
      <c r="W261" s="125"/>
      <c r="X261" s="122"/>
      <c r="Y261" s="122"/>
      <c r="Z261" s="122"/>
      <c r="AA261" s="126"/>
      <c r="AB261" s="122"/>
      <c r="AC261" s="122"/>
      <c r="AD261" s="127"/>
      <c r="AE261" s="127"/>
      <c r="AF261" s="127"/>
      <c r="AG261" s="127"/>
      <c r="AH261" s="124"/>
      <c r="AI261" s="127"/>
      <c r="AJ261" s="127"/>
      <c r="AK261" s="126"/>
      <c r="AL261" s="122"/>
      <c r="AM261" s="122"/>
      <c r="AN261" s="122"/>
      <c r="AO261" s="122"/>
      <c r="AP261" s="122"/>
      <c r="AQ261" s="124"/>
    </row>
    <row r="262" spans="1:43" ht="15.75" customHeight="1">
      <c r="A262" s="122"/>
      <c r="B262" s="122"/>
      <c r="C262" s="122"/>
      <c r="D262" s="122"/>
      <c r="E262" s="122"/>
      <c r="F262" s="122"/>
      <c r="G262" s="122"/>
      <c r="H262" s="122"/>
      <c r="I262" s="122"/>
      <c r="J262" s="122"/>
      <c r="K262" s="122"/>
      <c r="L262" s="122"/>
      <c r="M262" s="123"/>
      <c r="N262" s="123"/>
      <c r="O262" s="122"/>
      <c r="P262" s="124"/>
      <c r="Q262" s="122"/>
      <c r="R262" s="122"/>
      <c r="S262" s="122"/>
      <c r="T262" s="122"/>
      <c r="U262" s="122"/>
      <c r="V262" s="124"/>
      <c r="W262" s="125"/>
      <c r="X262" s="122"/>
      <c r="Y262" s="122"/>
      <c r="Z262" s="122"/>
      <c r="AA262" s="126"/>
      <c r="AB262" s="122"/>
      <c r="AC262" s="122"/>
      <c r="AD262" s="127"/>
      <c r="AE262" s="127"/>
      <c r="AF262" s="127"/>
      <c r="AG262" s="127"/>
      <c r="AH262" s="124"/>
      <c r="AI262" s="127"/>
      <c r="AJ262" s="127"/>
      <c r="AK262" s="126"/>
      <c r="AL262" s="122"/>
      <c r="AM262" s="122"/>
      <c r="AN262" s="122"/>
      <c r="AO262" s="122"/>
      <c r="AP262" s="122"/>
      <c r="AQ262" s="124"/>
    </row>
    <row r="263" spans="1:43" ht="15.75" customHeight="1">
      <c r="A263" s="122"/>
      <c r="B263" s="122"/>
      <c r="C263" s="122"/>
      <c r="D263" s="122"/>
      <c r="E263" s="122"/>
      <c r="F263" s="122"/>
      <c r="G263" s="122"/>
      <c r="H263" s="122"/>
      <c r="I263" s="122"/>
      <c r="J263" s="122"/>
      <c r="K263" s="122"/>
      <c r="L263" s="122"/>
      <c r="M263" s="123"/>
      <c r="N263" s="123"/>
      <c r="O263" s="122"/>
      <c r="P263" s="124"/>
      <c r="Q263" s="122"/>
      <c r="R263" s="122"/>
      <c r="S263" s="122"/>
      <c r="T263" s="122"/>
      <c r="U263" s="122"/>
      <c r="V263" s="124"/>
      <c r="W263" s="125"/>
      <c r="X263" s="122"/>
      <c r="Y263" s="122"/>
      <c r="Z263" s="122"/>
      <c r="AA263" s="126"/>
      <c r="AB263" s="122"/>
      <c r="AC263" s="122"/>
      <c r="AD263" s="127"/>
      <c r="AE263" s="127"/>
      <c r="AF263" s="127"/>
      <c r="AG263" s="127"/>
      <c r="AH263" s="124"/>
      <c r="AI263" s="127"/>
      <c r="AJ263" s="127"/>
      <c r="AK263" s="126"/>
      <c r="AL263" s="122"/>
      <c r="AM263" s="122"/>
      <c r="AN263" s="122"/>
      <c r="AO263" s="122"/>
      <c r="AP263" s="122"/>
      <c r="AQ263" s="124"/>
    </row>
    <row r="264" spans="1:43" ht="15.75" customHeight="1">
      <c r="A264" s="122"/>
      <c r="B264" s="122"/>
      <c r="C264" s="122"/>
      <c r="D264" s="122"/>
      <c r="E264" s="122"/>
      <c r="F264" s="122"/>
      <c r="G264" s="122"/>
      <c r="H264" s="122"/>
      <c r="I264" s="122"/>
      <c r="J264" s="122"/>
      <c r="K264" s="122"/>
      <c r="L264" s="122"/>
      <c r="M264" s="123"/>
      <c r="N264" s="123"/>
      <c r="O264" s="122"/>
      <c r="P264" s="124"/>
      <c r="Q264" s="122"/>
      <c r="R264" s="122"/>
      <c r="S264" s="122"/>
      <c r="T264" s="122"/>
      <c r="U264" s="122"/>
      <c r="V264" s="124"/>
      <c r="W264" s="125"/>
      <c r="X264" s="122"/>
      <c r="Y264" s="122"/>
      <c r="Z264" s="122"/>
      <c r="AA264" s="126"/>
      <c r="AB264" s="122"/>
      <c r="AC264" s="122"/>
      <c r="AD264" s="127"/>
      <c r="AE264" s="127"/>
      <c r="AF264" s="127"/>
      <c r="AG264" s="127"/>
      <c r="AH264" s="124"/>
      <c r="AI264" s="127"/>
      <c r="AJ264" s="127"/>
      <c r="AK264" s="126"/>
      <c r="AL264" s="122"/>
      <c r="AM264" s="122"/>
      <c r="AN264" s="122"/>
      <c r="AO264" s="122"/>
      <c r="AP264" s="122"/>
      <c r="AQ264" s="124"/>
    </row>
    <row r="265" spans="1:43" ht="15.75" customHeight="1">
      <c r="A265" s="122"/>
      <c r="B265" s="122"/>
      <c r="C265" s="122"/>
      <c r="D265" s="122"/>
      <c r="E265" s="122"/>
      <c r="F265" s="122"/>
      <c r="G265" s="122"/>
      <c r="H265" s="122"/>
      <c r="I265" s="122"/>
      <c r="J265" s="122"/>
      <c r="K265" s="122"/>
      <c r="L265" s="122"/>
      <c r="M265" s="123"/>
      <c r="N265" s="123"/>
      <c r="O265" s="122"/>
      <c r="P265" s="124"/>
      <c r="Q265" s="122"/>
      <c r="R265" s="122"/>
      <c r="S265" s="122"/>
      <c r="T265" s="122"/>
      <c r="U265" s="122"/>
      <c r="V265" s="124"/>
      <c r="W265" s="125"/>
      <c r="X265" s="122"/>
      <c r="Y265" s="122"/>
      <c r="Z265" s="122"/>
      <c r="AA265" s="126"/>
      <c r="AB265" s="122"/>
      <c r="AC265" s="122"/>
      <c r="AD265" s="127"/>
      <c r="AE265" s="127"/>
      <c r="AF265" s="127"/>
      <c r="AG265" s="127"/>
      <c r="AH265" s="124"/>
      <c r="AI265" s="127"/>
      <c r="AJ265" s="127"/>
      <c r="AK265" s="126"/>
      <c r="AL265" s="122"/>
      <c r="AM265" s="122"/>
      <c r="AN265" s="122"/>
      <c r="AO265" s="122"/>
      <c r="AP265" s="122"/>
      <c r="AQ265" s="124"/>
    </row>
    <row r="266" spans="1:43" ht="15.75" customHeight="1">
      <c r="A266" s="122"/>
      <c r="B266" s="122"/>
      <c r="C266" s="122"/>
      <c r="D266" s="122"/>
      <c r="E266" s="122"/>
      <c r="F266" s="122"/>
      <c r="G266" s="122"/>
      <c r="H266" s="122"/>
      <c r="I266" s="122"/>
      <c r="J266" s="122"/>
      <c r="K266" s="122"/>
      <c r="L266" s="122"/>
      <c r="M266" s="123"/>
      <c r="N266" s="123"/>
      <c r="O266" s="122"/>
      <c r="P266" s="124"/>
      <c r="Q266" s="122"/>
      <c r="R266" s="122"/>
      <c r="S266" s="122"/>
      <c r="T266" s="122"/>
      <c r="U266" s="122"/>
      <c r="V266" s="124"/>
      <c r="W266" s="125"/>
      <c r="X266" s="122"/>
      <c r="Y266" s="122"/>
      <c r="Z266" s="122"/>
      <c r="AA266" s="126"/>
      <c r="AB266" s="122"/>
      <c r="AC266" s="122"/>
      <c r="AD266" s="127"/>
      <c r="AE266" s="127"/>
      <c r="AF266" s="127"/>
      <c r="AG266" s="127"/>
      <c r="AH266" s="124"/>
      <c r="AI266" s="127"/>
      <c r="AJ266" s="127"/>
      <c r="AK266" s="126"/>
      <c r="AL266" s="122"/>
      <c r="AM266" s="122"/>
      <c r="AN266" s="122"/>
      <c r="AO266" s="122"/>
      <c r="AP266" s="122"/>
      <c r="AQ266" s="124"/>
    </row>
    <row r="267" spans="1:43" ht="15.75" customHeight="1">
      <c r="A267" s="122"/>
      <c r="B267" s="122"/>
      <c r="C267" s="122"/>
      <c r="D267" s="122"/>
      <c r="E267" s="122"/>
      <c r="F267" s="122"/>
      <c r="G267" s="122"/>
      <c r="H267" s="122"/>
      <c r="I267" s="122"/>
      <c r="J267" s="122"/>
      <c r="K267" s="122"/>
      <c r="L267" s="122"/>
      <c r="M267" s="123"/>
      <c r="N267" s="123"/>
      <c r="O267" s="122"/>
      <c r="P267" s="124"/>
      <c r="Q267" s="122"/>
      <c r="R267" s="122"/>
      <c r="S267" s="122"/>
      <c r="T267" s="122"/>
      <c r="U267" s="122"/>
      <c r="V267" s="124"/>
      <c r="W267" s="125"/>
      <c r="X267" s="122"/>
      <c r="Y267" s="122"/>
      <c r="Z267" s="122"/>
      <c r="AA267" s="126"/>
      <c r="AB267" s="122"/>
      <c r="AC267" s="122"/>
      <c r="AD267" s="127"/>
      <c r="AE267" s="127"/>
      <c r="AF267" s="127"/>
      <c r="AG267" s="127"/>
      <c r="AH267" s="124"/>
      <c r="AI267" s="127"/>
      <c r="AJ267" s="127"/>
      <c r="AK267" s="126"/>
      <c r="AL267" s="122"/>
      <c r="AM267" s="122"/>
      <c r="AN267" s="122"/>
      <c r="AO267" s="122"/>
      <c r="AP267" s="122"/>
      <c r="AQ267" s="124"/>
    </row>
    <row r="268" spans="1:43" ht="15.75" customHeight="1">
      <c r="A268" s="122"/>
      <c r="B268" s="122"/>
      <c r="C268" s="122"/>
      <c r="D268" s="122"/>
      <c r="E268" s="122"/>
      <c r="F268" s="122"/>
      <c r="G268" s="122"/>
      <c r="H268" s="122"/>
      <c r="I268" s="122"/>
      <c r="J268" s="122"/>
      <c r="K268" s="122"/>
      <c r="L268" s="122"/>
      <c r="M268" s="123"/>
      <c r="N268" s="123"/>
      <c r="O268" s="122"/>
      <c r="P268" s="124"/>
      <c r="Q268" s="122"/>
      <c r="R268" s="122"/>
      <c r="S268" s="122"/>
      <c r="T268" s="122"/>
      <c r="U268" s="122"/>
      <c r="V268" s="124"/>
      <c r="W268" s="125"/>
      <c r="X268" s="122"/>
      <c r="Y268" s="122"/>
      <c r="Z268" s="122"/>
      <c r="AA268" s="126"/>
      <c r="AB268" s="122"/>
      <c r="AC268" s="122"/>
      <c r="AD268" s="127"/>
      <c r="AE268" s="127"/>
      <c r="AF268" s="127"/>
      <c r="AG268" s="127"/>
      <c r="AH268" s="124"/>
      <c r="AI268" s="127"/>
      <c r="AJ268" s="127"/>
      <c r="AK268" s="126"/>
      <c r="AL268" s="122"/>
      <c r="AM268" s="122"/>
      <c r="AN268" s="122"/>
      <c r="AO268" s="122"/>
      <c r="AP268" s="122"/>
      <c r="AQ268" s="124"/>
    </row>
    <row r="269" spans="1:43" ht="15.75" customHeight="1">
      <c r="A269" s="122"/>
      <c r="B269" s="122"/>
      <c r="C269" s="122"/>
      <c r="D269" s="122"/>
      <c r="E269" s="122"/>
      <c r="F269" s="122"/>
      <c r="G269" s="122"/>
      <c r="H269" s="122"/>
      <c r="I269" s="122"/>
      <c r="J269" s="122"/>
      <c r="K269" s="122"/>
      <c r="L269" s="122"/>
      <c r="M269" s="123"/>
      <c r="N269" s="123"/>
      <c r="O269" s="122"/>
      <c r="P269" s="124"/>
      <c r="Q269" s="122"/>
      <c r="R269" s="122"/>
      <c r="S269" s="122"/>
      <c r="T269" s="122"/>
      <c r="U269" s="122"/>
      <c r="V269" s="124"/>
      <c r="W269" s="125"/>
      <c r="X269" s="122"/>
      <c r="Y269" s="122"/>
      <c r="Z269" s="122"/>
      <c r="AA269" s="126"/>
      <c r="AB269" s="122"/>
      <c r="AC269" s="122"/>
      <c r="AD269" s="127"/>
      <c r="AE269" s="127"/>
      <c r="AF269" s="127"/>
      <c r="AG269" s="127"/>
      <c r="AH269" s="124"/>
      <c r="AI269" s="127"/>
      <c r="AJ269" s="127"/>
      <c r="AK269" s="126"/>
      <c r="AL269" s="122"/>
      <c r="AM269" s="122"/>
      <c r="AN269" s="122"/>
      <c r="AO269" s="122"/>
      <c r="AP269" s="122"/>
      <c r="AQ269" s="124"/>
    </row>
    <row r="270" spans="1:43" ht="15.75" customHeight="1">
      <c r="A270" s="122"/>
      <c r="B270" s="122"/>
      <c r="C270" s="122"/>
      <c r="D270" s="122"/>
      <c r="E270" s="122"/>
      <c r="F270" s="122"/>
      <c r="G270" s="122"/>
      <c r="H270" s="122"/>
      <c r="I270" s="122"/>
      <c r="J270" s="122"/>
      <c r="K270" s="122"/>
      <c r="L270" s="122"/>
      <c r="M270" s="123"/>
      <c r="N270" s="123"/>
      <c r="O270" s="122"/>
      <c r="P270" s="124"/>
      <c r="Q270" s="122"/>
      <c r="R270" s="122"/>
      <c r="S270" s="122"/>
      <c r="T270" s="122"/>
      <c r="U270" s="122"/>
      <c r="V270" s="124"/>
      <c r="W270" s="125"/>
      <c r="X270" s="122"/>
      <c r="Y270" s="122"/>
      <c r="Z270" s="122"/>
      <c r="AA270" s="126"/>
      <c r="AB270" s="122"/>
      <c r="AC270" s="122"/>
      <c r="AD270" s="127"/>
      <c r="AE270" s="127"/>
      <c r="AF270" s="127"/>
      <c r="AG270" s="127"/>
      <c r="AH270" s="124"/>
      <c r="AI270" s="127"/>
      <c r="AJ270" s="127"/>
      <c r="AK270" s="126"/>
      <c r="AL270" s="122"/>
      <c r="AM270" s="122"/>
      <c r="AN270" s="122"/>
      <c r="AO270" s="122"/>
      <c r="AP270" s="122"/>
      <c r="AQ270" s="124"/>
    </row>
    <row r="271" spans="1:43" ht="15.75" customHeight="1">
      <c r="A271" s="122"/>
      <c r="B271" s="122"/>
      <c r="C271" s="122"/>
      <c r="D271" s="122"/>
      <c r="E271" s="122"/>
      <c r="F271" s="122"/>
      <c r="G271" s="122"/>
      <c r="H271" s="122"/>
      <c r="I271" s="122"/>
      <c r="J271" s="122"/>
      <c r="K271" s="122"/>
      <c r="L271" s="122"/>
      <c r="M271" s="123"/>
      <c r="N271" s="123"/>
      <c r="O271" s="122"/>
      <c r="P271" s="124"/>
      <c r="Q271" s="122"/>
      <c r="R271" s="122"/>
      <c r="S271" s="122"/>
      <c r="T271" s="122"/>
      <c r="U271" s="122"/>
      <c r="V271" s="124"/>
      <c r="W271" s="125"/>
      <c r="X271" s="122"/>
      <c r="Y271" s="122"/>
      <c r="Z271" s="122"/>
      <c r="AA271" s="126"/>
      <c r="AB271" s="122"/>
      <c r="AC271" s="122"/>
      <c r="AD271" s="127"/>
      <c r="AE271" s="127"/>
      <c r="AF271" s="127"/>
      <c r="AG271" s="127"/>
      <c r="AH271" s="124"/>
      <c r="AI271" s="127"/>
      <c r="AJ271" s="127"/>
      <c r="AK271" s="126"/>
      <c r="AL271" s="122"/>
      <c r="AM271" s="122"/>
      <c r="AN271" s="122"/>
      <c r="AO271" s="122"/>
      <c r="AP271" s="122"/>
      <c r="AQ271" s="124"/>
    </row>
    <row r="272" spans="1:43" ht="15.75" customHeight="1">
      <c r="A272" s="122"/>
      <c r="B272" s="122"/>
      <c r="C272" s="122"/>
      <c r="D272" s="122"/>
      <c r="E272" s="122"/>
      <c r="F272" s="122"/>
      <c r="G272" s="122"/>
      <c r="H272" s="122"/>
      <c r="I272" s="122"/>
      <c r="J272" s="122"/>
      <c r="K272" s="122"/>
      <c r="L272" s="122"/>
      <c r="M272" s="123"/>
      <c r="N272" s="123"/>
      <c r="O272" s="122"/>
      <c r="P272" s="124"/>
      <c r="Q272" s="122"/>
      <c r="R272" s="122"/>
      <c r="S272" s="122"/>
      <c r="T272" s="122"/>
      <c r="U272" s="122"/>
      <c r="V272" s="124"/>
      <c r="W272" s="125"/>
      <c r="X272" s="122"/>
      <c r="Y272" s="122"/>
      <c r="Z272" s="122"/>
      <c r="AA272" s="126"/>
      <c r="AB272" s="122"/>
      <c r="AC272" s="122"/>
      <c r="AD272" s="127"/>
      <c r="AE272" s="127"/>
      <c r="AF272" s="127"/>
      <c r="AG272" s="127"/>
      <c r="AH272" s="124"/>
      <c r="AI272" s="127"/>
      <c r="AJ272" s="127"/>
      <c r="AK272" s="126"/>
      <c r="AL272" s="122"/>
      <c r="AM272" s="122"/>
      <c r="AN272" s="122"/>
      <c r="AO272" s="122"/>
      <c r="AP272" s="122"/>
      <c r="AQ272" s="124"/>
    </row>
    <row r="273" spans="1:43" ht="15.75" customHeight="1">
      <c r="A273" s="122"/>
      <c r="B273" s="122"/>
      <c r="C273" s="122"/>
      <c r="D273" s="122"/>
      <c r="E273" s="122"/>
      <c r="F273" s="122"/>
      <c r="G273" s="122"/>
      <c r="H273" s="122"/>
      <c r="I273" s="122"/>
      <c r="J273" s="122"/>
      <c r="K273" s="122"/>
      <c r="L273" s="122"/>
      <c r="M273" s="123"/>
      <c r="N273" s="123"/>
      <c r="O273" s="122"/>
      <c r="P273" s="124"/>
      <c r="Q273" s="122"/>
      <c r="R273" s="122"/>
      <c r="S273" s="122"/>
      <c r="T273" s="122"/>
      <c r="U273" s="122"/>
      <c r="V273" s="124"/>
      <c r="W273" s="125"/>
      <c r="X273" s="122"/>
      <c r="Y273" s="122"/>
      <c r="Z273" s="122"/>
      <c r="AA273" s="126"/>
      <c r="AB273" s="122"/>
      <c r="AC273" s="122"/>
      <c r="AD273" s="127"/>
      <c r="AE273" s="127"/>
      <c r="AF273" s="127"/>
      <c r="AG273" s="127"/>
      <c r="AH273" s="124"/>
      <c r="AI273" s="127"/>
      <c r="AJ273" s="127"/>
      <c r="AK273" s="126"/>
      <c r="AL273" s="122"/>
      <c r="AM273" s="122"/>
      <c r="AN273" s="122"/>
      <c r="AO273" s="122"/>
      <c r="AP273" s="122"/>
      <c r="AQ273" s="124"/>
    </row>
    <row r="274" spans="1:43" ht="15.75" customHeight="1">
      <c r="A274" s="122"/>
      <c r="B274" s="122"/>
      <c r="C274" s="122"/>
      <c r="D274" s="122"/>
      <c r="E274" s="122"/>
      <c r="F274" s="122"/>
      <c r="G274" s="122"/>
      <c r="H274" s="122"/>
      <c r="I274" s="122"/>
      <c r="J274" s="122"/>
      <c r="K274" s="122"/>
      <c r="L274" s="122"/>
      <c r="M274" s="123"/>
      <c r="N274" s="123"/>
      <c r="O274" s="122"/>
      <c r="P274" s="124"/>
      <c r="Q274" s="122"/>
      <c r="R274" s="122"/>
      <c r="S274" s="122"/>
      <c r="T274" s="122"/>
      <c r="U274" s="122"/>
      <c r="V274" s="124"/>
      <c r="W274" s="125"/>
      <c r="X274" s="122"/>
      <c r="Y274" s="122"/>
      <c r="Z274" s="122"/>
      <c r="AA274" s="126"/>
      <c r="AB274" s="122"/>
      <c r="AC274" s="122"/>
      <c r="AD274" s="127"/>
      <c r="AE274" s="127"/>
      <c r="AF274" s="127"/>
      <c r="AG274" s="127"/>
      <c r="AH274" s="124"/>
      <c r="AI274" s="127"/>
      <c r="AJ274" s="127"/>
      <c r="AK274" s="126"/>
      <c r="AL274" s="122"/>
      <c r="AM274" s="122"/>
      <c r="AN274" s="122"/>
      <c r="AO274" s="122"/>
      <c r="AP274" s="122"/>
      <c r="AQ274" s="124"/>
    </row>
    <row r="275" spans="1:43" ht="15.75" customHeight="1">
      <c r="A275" s="122"/>
      <c r="B275" s="122"/>
      <c r="C275" s="122"/>
      <c r="D275" s="122"/>
      <c r="E275" s="122"/>
      <c r="F275" s="122"/>
      <c r="G275" s="122"/>
      <c r="H275" s="122"/>
      <c r="I275" s="122"/>
      <c r="J275" s="122"/>
      <c r="K275" s="122"/>
      <c r="L275" s="122"/>
      <c r="M275" s="123"/>
      <c r="N275" s="123"/>
      <c r="O275" s="122"/>
      <c r="P275" s="124"/>
      <c r="Q275" s="122"/>
      <c r="R275" s="122"/>
      <c r="S275" s="122"/>
      <c r="T275" s="122"/>
      <c r="U275" s="122"/>
      <c r="V275" s="124"/>
      <c r="W275" s="125"/>
      <c r="X275" s="122"/>
      <c r="Y275" s="122"/>
      <c r="Z275" s="122"/>
      <c r="AA275" s="126"/>
      <c r="AB275" s="122"/>
      <c r="AC275" s="122"/>
      <c r="AD275" s="127"/>
      <c r="AE275" s="127"/>
      <c r="AF275" s="127"/>
      <c r="AG275" s="127"/>
      <c r="AH275" s="124"/>
      <c r="AI275" s="127"/>
      <c r="AJ275" s="127"/>
      <c r="AK275" s="126"/>
      <c r="AL275" s="122"/>
      <c r="AM275" s="122"/>
      <c r="AN275" s="122"/>
      <c r="AO275" s="122"/>
      <c r="AP275" s="122"/>
      <c r="AQ275" s="124"/>
    </row>
    <row r="276" spans="1:43" ht="15.75" customHeight="1">
      <c r="A276" s="122"/>
      <c r="B276" s="122"/>
      <c r="C276" s="122"/>
      <c r="D276" s="122"/>
      <c r="E276" s="122"/>
      <c r="F276" s="122"/>
      <c r="G276" s="122"/>
      <c r="H276" s="122"/>
      <c r="I276" s="122"/>
      <c r="J276" s="122"/>
      <c r="K276" s="122"/>
      <c r="L276" s="122"/>
      <c r="M276" s="123"/>
      <c r="N276" s="123"/>
      <c r="O276" s="122"/>
      <c r="P276" s="124"/>
      <c r="Q276" s="122"/>
      <c r="R276" s="122"/>
      <c r="S276" s="122"/>
      <c r="T276" s="122"/>
      <c r="U276" s="122"/>
      <c r="V276" s="124"/>
      <c r="W276" s="125"/>
      <c r="X276" s="122"/>
      <c r="Y276" s="122"/>
      <c r="Z276" s="122"/>
      <c r="AA276" s="126"/>
      <c r="AB276" s="122"/>
      <c r="AC276" s="122"/>
      <c r="AD276" s="127"/>
      <c r="AE276" s="127"/>
      <c r="AF276" s="127"/>
      <c r="AG276" s="127"/>
      <c r="AH276" s="124"/>
      <c r="AI276" s="127"/>
      <c r="AJ276" s="127"/>
      <c r="AK276" s="126"/>
      <c r="AL276" s="122"/>
      <c r="AM276" s="122"/>
      <c r="AN276" s="122"/>
      <c r="AO276" s="122"/>
      <c r="AP276" s="122"/>
      <c r="AQ276" s="124"/>
    </row>
    <row r="277" spans="1:43" ht="15.75" customHeight="1">
      <c r="A277" s="122"/>
      <c r="B277" s="122"/>
      <c r="C277" s="122"/>
      <c r="D277" s="122"/>
      <c r="E277" s="122"/>
      <c r="F277" s="122"/>
      <c r="G277" s="122"/>
      <c r="H277" s="122"/>
      <c r="I277" s="122"/>
      <c r="J277" s="122"/>
      <c r="K277" s="122"/>
      <c r="L277" s="122"/>
      <c r="M277" s="123"/>
      <c r="N277" s="123"/>
      <c r="O277" s="122"/>
      <c r="P277" s="124"/>
      <c r="Q277" s="122"/>
      <c r="R277" s="122"/>
      <c r="S277" s="122"/>
      <c r="T277" s="122"/>
      <c r="U277" s="122"/>
      <c r="V277" s="124"/>
      <c r="W277" s="125"/>
      <c r="X277" s="122"/>
      <c r="Y277" s="122"/>
      <c r="Z277" s="122"/>
      <c r="AA277" s="126"/>
      <c r="AB277" s="122"/>
      <c r="AC277" s="122"/>
      <c r="AD277" s="127"/>
      <c r="AE277" s="127"/>
      <c r="AF277" s="127"/>
      <c r="AG277" s="127"/>
      <c r="AH277" s="124"/>
      <c r="AI277" s="127"/>
      <c r="AJ277" s="127"/>
      <c r="AK277" s="126"/>
      <c r="AL277" s="122"/>
      <c r="AM277" s="122"/>
      <c r="AN277" s="122"/>
      <c r="AO277" s="122"/>
      <c r="AP277" s="122"/>
      <c r="AQ277" s="124"/>
    </row>
    <row r="278" spans="1:43" ht="15.75" customHeight="1">
      <c r="A278" s="122"/>
      <c r="B278" s="122"/>
      <c r="C278" s="122"/>
      <c r="D278" s="122"/>
      <c r="E278" s="122"/>
      <c r="F278" s="122"/>
      <c r="G278" s="122"/>
      <c r="H278" s="122"/>
      <c r="I278" s="122"/>
      <c r="J278" s="122"/>
      <c r="K278" s="122"/>
      <c r="L278" s="122"/>
      <c r="M278" s="123"/>
      <c r="N278" s="123"/>
      <c r="O278" s="122"/>
      <c r="P278" s="124"/>
      <c r="Q278" s="122"/>
      <c r="R278" s="122"/>
      <c r="S278" s="122"/>
      <c r="T278" s="122"/>
      <c r="U278" s="122"/>
      <c r="V278" s="124"/>
      <c r="W278" s="125"/>
      <c r="X278" s="122"/>
      <c r="Y278" s="122"/>
      <c r="Z278" s="122"/>
      <c r="AA278" s="126"/>
      <c r="AB278" s="122"/>
      <c r="AC278" s="122"/>
      <c r="AD278" s="127"/>
      <c r="AE278" s="127"/>
      <c r="AF278" s="127"/>
      <c r="AG278" s="127"/>
      <c r="AH278" s="124"/>
      <c r="AI278" s="127"/>
      <c r="AJ278" s="127"/>
      <c r="AK278" s="126"/>
      <c r="AL278" s="122"/>
      <c r="AM278" s="122"/>
      <c r="AN278" s="122"/>
      <c r="AO278" s="122"/>
      <c r="AP278" s="122"/>
      <c r="AQ278" s="124"/>
    </row>
    <row r="279" spans="1:43" ht="15.75" customHeight="1">
      <c r="A279" s="122"/>
      <c r="B279" s="122"/>
      <c r="C279" s="122"/>
      <c r="D279" s="122"/>
      <c r="E279" s="122"/>
      <c r="F279" s="122"/>
      <c r="G279" s="122"/>
      <c r="H279" s="122"/>
      <c r="I279" s="122"/>
      <c r="J279" s="122"/>
      <c r="K279" s="122"/>
      <c r="L279" s="122"/>
      <c r="M279" s="123"/>
      <c r="N279" s="123"/>
      <c r="O279" s="122"/>
      <c r="P279" s="124"/>
      <c r="Q279" s="122"/>
      <c r="R279" s="122"/>
      <c r="S279" s="122"/>
      <c r="T279" s="122"/>
      <c r="U279" s="122"/>
      <c r="V279" s="124"/>
      <c r="W279" s="125"/>
      <c r="X279" s="122"/>
      <c r="Y279" s="122"/>
      <c r="Z279" s="122"/>
      <c r="AA279" s="126"/>
      <c r="AB279" s="122"/>
      <c r="AC279" s="122"/>
      <c r="AD279" s="127"/>
      <c r="AE279" s="127"/>
      <c r="AF279" s="127"/>
      <c r="AG279" s="127"/>
      <c r="AH279" s="124"/>
      <c r="AI279" s="127"/>
      <c r="AJ279" s="127"/>
      <c r="AK279" s="126"/>
      <c r="AL279" s="122"/>
      <c r="AM279" s="122"/>
      <c r="AN279" s="122"/>
      <c r="AO279" s="122"/>
      <c r="AP279" s="122"/>
      <c r="AQ279" s="124"/>
    </row>
    <row r="280" spans="1:43" ht="15.75" customHeight="1">
      <c r="A280" s="122"/>
      <c r="B280" s="122"/>
      <c r="C280" s="122"/>
      <c r="D280" s="122"/>
      <c r="E280" s="122"/>
      <c r="F280" s="122"/>
      <c r="G280" s="122"/>
      <c r="H280" s="122"/>
      <c r="I280" s="122"/>
      <c r="J280" s="122"/>
      <c r="K280" s="122"/>
      <c r="L280" s="122"/>
      <c r="M280" s="123"/>
      <c r="N280" s="123"/>
      <c r="O280" s="122"/>
      <c r="P280" s="124"/>
      <c r="Q280" s="122"/>
      <c r="R280" s="122"/>
      <c r="S280" s="122"/>
      <c r="T280" s="122"/>
      <c r="U280" s="122"/>
      <c r="V280" s="124"/>
      <c r="W280" s="125"/>
      <c r="X280" s="122"/>
      <c r="Y280" s="122"/>
      <c r="Z280" s="122"/>
      <c r="AA280" s="126"/>
      <c r="AB280" s="122"/>
      <c r="AC280" s="122"/>
      <c r="AD280" s="127"/>
      <c r="AE280" s="127"/>
      <c r="AF280" s="127"/>
      <c r="AG280" s="127"/>
      <c r="AH280" s="124"/>
      <c r="AI280" s="127"/>
      <c r="AJ280" s="127"/>
      <c r="AK280" s="126"/>
      <c r="AL280" s="122"/>
      <c r="AM280" s="122"/>
      <c r="AN280" s="122"/>
      <c r="AO280" s="122"/>
      <c r="AP280" s="122"/>
      <c r="AQ280" s="124"/>
    </row>
    <row r="281" spans="1:43" ht="15.75" customHeight="1">
      <c r="A281" s="122"/>
      <c r="B281" s="122"/>
      <c r="C281" s="122"/>
      <c r="D281" s="122"/>
      <c r="E281" s="122"/>
      <c r="F281" s="122"/>
      <c r="G281" s="122"/>
      <c r="H281" s="122"/>
      <c r="I281" s="122"/>
      <c r="J281" s="122"/>
      <c r="K281" s="122"/>
      <c r="L281" s="122"/>
      <c r="M281" s="123"/>
      <c r="N281" s="123"/>
      <c r="O281" s="122"/>
      <c r="P281" s="124"/>
      <c r="Q281" s="122"/>
      <c r="R281" s="122"/>
      <c r="S281" s="122"/>
      <c r="T281" s="122"/>
      <c r="U281" s="122"/>
      <c r="V281" s="124"/>
      <c r="W281" s="125"/>
      <c r="X281" s="122"/>
      <c r="Y281" s="122"/>
      <c r="Z281" s="122"/>
      <c r="AA281" s="126"/>
      <c r="AB281" s="122"/>
      <c r="AC281" s="122"/>
      <c r="AD281" s="127"/>
      <c r="AE281" s="127"/>
      <c r="AF281" s="127"/>
      <c r="AG281" s="127"/>
      <c r="AH281" s="124"/>
      <c r="AI281" s="127"/>
      <c r="AJ281" s="127"/>
      <c r="AK281" s="126"/>
      <c r="AL281" s="122"/>
      <c r="AM281" s="122"/>
      <c r="AN281" s="122"/>
      <c r="AO281" s="122"/>
      <c r="AP281" s="122"/>
      <c r="AQ281" s="124"/>
    </row>
    <row r="282" spans="1:43" ht="15.75" customHeight="1">
      <c r="A282" s="122"/>
      <c r="B282" s="122"/>
      <c r="C282" s="122"/>
      <c r="D282" s="122"/>
      <c r="E282" s="122"/>
      <c r="F282" s="122"/>
      <c r="G282" s="122"/>
      <c r="H282" s="122"/>
      <c r="I282" s="122"/>
      <c r="J282" s="122"/>
      <c r="K282" s="122"/>
      <c r="L282" s="122"/>
      <c r="M282" s="123"/>
      <c r="N282" s="123"/>
      <c r="O282" s="122"/>
      <c r="P282" s="124"/>
      <c r="Q282" s="122"/>
      <c r="R282" s="122"/>
      <c r="S282" s="122"/>
      <c r="T282" s="122"/>
      <c r="U282" s="122"/>
      <c r="V282" s="124"/>
      <c r="W282" s="125"/>
      <c r="X282" s="122"/>
      <c r="Y282" s="122"/>
      <c r="Z282" s="122"/>
      <c r="AA282" s="126"/>
      <c r="AB282" s="122"/>
      <c r="AC282" s="122"/>
      <c r="AD282" s="127"/>
      <c r="AE282" s="127"/>
      <c r="AF282" s="127"/>
      <c r="AG282" s="127"/>
      <c r="AH282" s="124"/>
      <c r="AI282" s="127"/>
      <c r="AJ282" s="127"/>
      <c r="AK282" s="126"/>
      <c r="AL282" s="122"/>
      <c r="AM282" s="122"/>
      <c r="AN282" s="122"/>
      <c r="AO282" s="122"/>
      <c r="AP282" s="122"/>
      <c r="AQ282" s="124"/>
    </row>
    <row r="283" spans="1:43" ht="15.75" customHeight="1">
      <c r="A283" s="122"/>
      <c r="B283" s="122"/>
      <c r="C283" s="122"/>
      <c r="D283" s="122"/>
      <c r="E283" s="122"/>
      <c r="F283" s="122"/>
      <c r="G283" s="122"/>
      <c r="H283" s="122"/>
      <c r="I283" s="122"/>
      <c r="J283" s="122"/>
      <c r="K283" s="122"/>
      <c r="L283" s="122"/>
      <c r="M283" s="123"/>
      <c r="N283" s="123"/>
      <c r="O283" s="122"/>
      <c r="P283" s="124"/>
      <c r="Q283" s="122"/>
      <c r="R283" s="122"/>
      <c r="S283" s="122"/>
      <c r="T283" s="122"/>
      <c r="U283" s="122"/>
      <c r="V283" s="124"/>
      <c r="W283" s="125"/>
      <c r="X283" s="122"/>
      <c r="Y283" s="122"/>
      <c r="Z283" s="122"/>
      <c r="AA283" s="126"/>
      <c r="AB283" s="122"/>
      <c r="AC283" s="122"/>
      <c r="AD283" s="127"/>
      <c r="AE283" s="127"/>
      <c r="AF283" s="127"/>
      <c r="AG283" s="127"/>
      <c r="AH283" s="124"/>
      <c r="AI283" s="127"/>
      <c r="AJ283" s="127"/>
      <c r="AK283" s="126"/>
      <c r="AL283" s="122"/>
      <c r="AM283" s="122"/>
      <c r="AN283" s="122"/>
      <c r="AO283" s="122"/>
      <c r="AP283" s="122"/>
      <c r="AQ283" s="124"/>
    </row>
    <row r="284" spans="1:43" ht="15.75" customHeight="1">
      <c r="A284" s="122"/>
      <c r="B284" s="122"/>
      <c r="C284" s="122"/>
      <c r="D284" s="122"/>
      <c r="E284" s="122"/>
      <c r="F284" s="122"/>
      <c r="G284" s="122"/>
      <c r="H284" s="122"/>
      <c r="I284" s="122"/>
      <c r="J284" s="122"/>
      <c r="K284" s="122"/>
      <c r="L284" s="122"/>
      <c r="M284" s="123"/>
      <c r="N284" s="123"/>
      <c r="O284" s="122"/>
      <c r="P284" s="124"/>
      <c r="Q284" s="122"/>
      <c r="R284" s="122"/>
      <c r="S284" s="122"/>
      <c r="T284" s="122"/>
      <c r="U284" s="122"/>
      <c r="V284" s="124"/>
      <c r="W284" s="125"/>
      <c r="X284" s="122"/>
      <c r="Y284" s="122"/>
      <c r="Z284" s="122"/>
      <c r="AA284" s="126"/>
      <c r="AB284" s="122"/>
      <c r="AC284" s="122"/>
      <c r="AD284" s="127"/>
      <c r="AE284" s="127"/>
      <c r="AF284" s="127"/>
      <c r="AG284" s="127"/>
      <c r="AH284" s="124"/>
      <c r="AI284" s="127"/>
      <c r="AJ284" s="127"/>
      <c r="AK284" s="126"/>
      <c r="AL284" s="122"/>
      <c r="AM284" s="122"/>
      <c r="AN284" s="122"/>
      <c r="AO284" s="122"/>
      <c r="AP284" s="122"/>
      <c r="AQ284" s="124"/>
    </row>
    <row r="285" spans="1:43" ht="15.75" customHeight="1">
      <c r="A285" s="122"/>
      <c r="B285" s="122"/>
      <c r="C285" s="122"/>
      <c r="D285" s="122"/>
      <c r="E285" s="122"/>
      <c r="F285" s="122"/>
      <c r="G285" s="122"/>
      <c r="H285" s="122"/>
      <c r="I285" s="122"/>
      <c r="J285" s="122"/>
      <c r="K285" s="122"/>
      <c r="L285" s="122"/>
      <c r="M285" s="123"/>
      <c r="N285" s="123"/>
      <c r="O285" s="122"/>
      <c r="P285" s="124"/>
      <c r="Q285" s="122"/>
      <c r="R285" s="122"/>
      <c r="S285" s="122"/>
      <c r="T285" s="122"/>
      <c r="U285" s="122"/>
      <c r="V285" s="124"/>
      <c r="W285" s="125"/>
      <c r="X285" s="122"/>
      <c r="Y285" s="122"/>
      <c r="Z285" s="122"/>
      <c r="AA285" s="126"/>
      <c r="AB285" s="122"/>
      <c r="AC285" s="122"/>
      <c r="AD285" s="127"/>
      <c r="AE285" s="127"/>
      <c r="AF285" s="127"/>
      <c r="AG285" s="127"/>
      <c r="AH285" s="124"/>
      <c r="AI285" s="127"/>
      <c r="AJ285" s="127"/>
      <c r="AK285" s="126"/>
      <c r="AL285" s="122"/>
      <c r="AM285" s="122"/>
      <c r="AN285" s="122"/>
      <c r="AO285" s="122"/>
      <c r="AP285" s="122"/>
      <c r="AQ285" s="124"/>
    </row>
    <row r="286" spans="1:43" ht="15.75" customHeight="1">
      <c r="A286" s="122"/>
      <c r="B286" s="122"/>
      <c r="C286" s="122"/>
      <c r="D286" s="122"/>
      <c r="E286" s="122"/>
      <c r="F286" s="122"/>
      <c r="G286" s="122"/>
      <c r="H286" s="122"/>
      <c r="I286" s="122"/>
      <c r="J286" s="122"/>
      <c r="K286" s="122"/>
      <c r="L286" s="122"/>
      <c r="M286" s="123"/>
      <c r="N286" s="123"/>
      <c r="O286" s="122"/>
      <c r="P286" s="124"/>
      <c r="Q286" s="122"/>
      <c r="R286" s="122"/>
      <c r="S286" s="122"/>
      <c r="T286" s="122"/>
      <c r="U286" s="122"/>
      <c r="V286" s="124"/>
      <c r="W286" s="125"/>
      <c r="X286" s="122"/>
      <c r="Y286" s="122"/>
      <c r="Z286" s="122"/>
      <c r="AA286" s="126"/>
      <c r="AB286" s="122"/>
      <c r="AC286" s="122"/>
      <c r="AD286" s="127"/>
      <c r="AE286" s="127"/>
      <c r="AF286" s="127"/>
      <c r="AG286" s="127"/>
      <c r="AH286" s="124"/>
      <c r="AI286" s="127"/>
      <c r="AJ286" s="127"/>
      <c r="AK286" s="126"/>
      <c r="AL286" s="122"/>
      <c r="AM286" s="122"/>
      <c r="AN286" s="122"/>
      <c r="AO286" s="122"/>
      <c r="AP286" s="122"/>
      <c r="AQ286" s="124"/>
    </row>
    <row r="287" spans="1:43" ht="15.75" customHeight="1">
      <c r="A287" s="122"/>
      <c r="B287" s="122"/>
      <c r="C287" s="122"/>
      <c r="D287" s="122"/>
      <c r="E287" s="122"/>
      <c r="F287" s="122"/>
      <c r="G287" s="122"/>
      <c r="H287" s="122"/>
      <c r="I287" s="122"/>
      <c r="J287" s="122"/>
      <c r="K287" s="122"/>
      <c r="L287" s="122"/>
      <c r="M287" s="123"/>
      <c r="N287" s="123"/>
      <c r="O287" s="122"/>
      <c r="P287" s="124"/>
      <c r="Q287" s="122"/>
      <c r="R287" s="122"/>
      <c r="S287" s="122"/>
      <c r="T287" s="122"/>
      <c r="U287" s="122"/>
      <c r="V287" s="124"/>
      <c r="W287" s="125"/>
      <c r="X287" s="122"/>
      <c r="Y287" s="122"/>
      <c r="Z287" s="122"/>
      <c r="AA287" s="126"/>
      <c r="AB287" s="122"/>
      <c r="AC287" s="122"/>
      <c r="AD287" s="127"/>
      <c r="AE287" s="127"/>
      <c r="AF287" s="127"/>
      <c r="AG287" s="127"/>
      <c r="AH287" s="124"/>
      <c r="AI287" s="127"/>
      <c r="AJ287" s="127"/>
      <c r="AK287" s="126"/>
      <c r="AL287" s="122"/>
      <c r="AM287" s="122"/>
      <c r="AN287" s="122"/>
      <c r="AO287" s="122"/>
      <c r="AP287" s="122"/>
      <c r="AQ287" s="124"/>
    </row>
    <row r="288" spans="1:43" ht="15.75" customHeight="1">
      <c r="A288" s="122"/>
      <c r="B288" s="122"/>
      <c r="C288" s="122"/>
      <c r="D288" s="122"/>
      <c r="E288" s="122"/>
      <c r="F288" s="122"/>
      <c r="G288" s="122"/>
      <c r="H288" s="122"/>
      <c r="I288" s="122"/>
      <c r="J288" s="122"/>
      <c r="K288" s="122"/>
      <c r="L288" s="122"/>
      <c r="M288" s="123"/>
      <c r="N288" s="123"/>
      <c r="O288" s="122"/>
      <c r="P288" s="124"/>
      <c r="Q288" s="122"/>
      <c r="R288" s="122"/>
      <c r="S288" s="122"/>
      <c r="T288" s="122"/>
      <c r="U288" s="122"/>
      <c r="V288" s="124"/>
      <c r="W288" s="125"/>
      <c r="X288" s="122"/>
      <c r="Y288" s="122"/>
      <c r="Z288" s="122"/>
      <c r="AA288" s="126"/>
      <c r="AB288" s="122"/>
      <c r="AC288" s="122"/>
      <c r="AD288" s="127"/>
      <c r="AE288" s="127"/>
      <c r="AF288" s="127"/>
      <c r="AG288" s="127"/>
      <c r="AH288" s="124"/>
      <c r="AI288" s="127"/>
      <c r="AJ288" s="127"/>
      <c r="AK288" s="126"/>
      <c r="AL288" s="122"/>
      <c r="AM288" s="122"/>
      <c r="AN288" s="122"/>
      <c r="AO288" s="122"/>
      <c r="AP288" s="122"/>
      <c r="AQ288" s="124"/>
    </row>
    <row r="289" spans="1:43" ht="15.75" customHeight="1">
      <c r="A289" s="122"/>
      <c r="B289" s="122"/>
      <c r="C289" s="122"/>
      <c r="D289" s="122"/>
      <c r="E289" s="122"/>
      <c r="F289" s="122"/>
      <c r="G289" s="122"/>
      <c r="H289" s="122"/>
      <c r="I289" s="122"/>
      <c r="J289" s="122"/>
      <c r="K289" s="122"/>
      <c r="L289" s="122"/>
      <c r="M289" s="123"/>
      <c r="N289" s="123"/>
      <c r="O289" s="122"/>
      <c r="P289" s="124"/>
      <c r="Q289" s="122"/>
      <c r="R289" s="122"/>
      <c r="S289" s="122"/>
      <c r="T289" s="122"/>
      <c r="U289" s="122"/>
      <c r="V289" s="124"/>
      <c r="W289" s="125"/>
      <c r="X289" s="122"/>
      <c r="Y289" s="122"/>
      <c r="Z289" s="122"/>
      <c r="AA289" s="126"/>
      <c r="AB289" s="122"/>
      <c r="AC289" s="122"/>
      <c r="AD289" s="127"/>
      <c r="AE289" s="127"/>
      <c r="AF289" s="127"/>
      <c r="AG289" s="127"/>
      <c r="AH289" s="124"/>
      <c r="AI289" s="127"/>
      <c r="AJ289" s="127"/>
      <c r="AK289" s="126"/>
      <c r="AL289" s="122"/>
      <c r="AM289" s="122"/>
      <c r="AN289" s="122"/>
      <c r="AO289" s="122"/>
      <c r="AP289" s="122"/>
      <c r="AQ289" s="124"/>
    </row>
    <row r="290" spans="1:43" ht="15.75" customHeight="1">
      <c r="A290" s="122"/>
      <c r="B290" s="122"/>
      <c r="C290" s="122"/>
      <c r="D290" s="122"/>
      <c r="E290" s="122"/>
      <c r="F290" s="122"/>
      <c r="G290" s="122"/>
      <c r="H290" s="122"/>
      <c r="I290" s="122"/>
      <c r="J290" s="122"/>
      <c r="K290" s="122"/>
      <c r="L290" s="122"/>
      <c r="M290" s="123"/>
      <c r="N290" s="123"/>
      <c r="O290" s="122"/>
      <c r="P290" s="124"/>
      <c r="Q290" s="122"/>
      <c r="R290" s="122"/>
      <c r="S290" s="122"/>
      <c r="T290" s="122"/>
      <c r="U290" s="122"/>
      <c r="V290" s="124"/>
      <c r="W290" s="125"/>
      <c r="X290" s="122"/>
      <c r="Y290" s="122"/>
      <c r="Z290" s="122"/>
      <c r="AA290" s="126"/>
      <c r="AB290" s="122"/>
      <c r="AC290" s="122"/>
      <c r="AD290" s="127"/>
      <c r="AE290" s="127"/>
      <c r="AF290" s="127"/>
      <c r="AG290" s="127"/>
      <c r="AH290" s="124"/>
      <c r="AI290" s="127"/>
      <c r="AJ290" s="127"/>
      <c r="AK290" s="126"/>
      <c r="AL290" s="122"/>
      <c r="AM290" s="122"/>
      <c r="AN290" s="122"/>
      <c r="AO290" s="122"/>
      <c r="AP290" s="122"/>
      <c r="AQ290" s="124"/>
    </row>
    <row r="291" spans="1:43" ht="15.75" customHeight="1">
      <c r="A291" s="122"/>
      <c r="B291" s="122"/>
      <c r="C291" s="122"/>
      <c r="D291" s="122"/>
      <c r="E291" s="122"/>
      <c r="F291" s="122"/>
      <c r="G291" s="122"/>
      <c r="H291" s="122"/>
      <c r="I291" s="122"/>
      <c r="J291" s="122"/>
      <c r="K291" s="122"/>
      <c r="L291" s="122"/>
      <c r="M291" s="123"/>
      <c r="N291" s="123"/>
      <c r="O291" s="122"/>
      <c r="P291" s="124"/>
      <c r="Q291" s="122"/>
      <c r="R291" s="122"/>
      <c r="S291" s="122"/>
      <c r="T291" s="122"/>
      <c r="U291" s="122"/>
      <c r="V291" s="124"/>
      <c r="W291" s="125"/>
      <c r="X291" s="122"/>
      <c r="Y291" s="122"/>
      <c r="Z291" s="122"/>
      <c r="AA291" s="126"/>
      <c r="AB291" s="122"/>
      <c r="AC291" s="122"/>
      <c r="AD291" s="127"/>
      <c r="AE291" s="127"/>
      <c r="AF291" s="127"/>
      <c r="AG291" s="127"/>
      <c r="AH291" s="124"/>
      <c r="AI291" s="127"/>
      <c r="AJ291" s="127"/>
      <c r="AK291" s="126"/>
      <c r="AL291" s="122"/>
      <c r="AM291" s="122"/>
      <c r="AN291" s="122"/>
      <c r="AO291" s="122"/>
      <c r="AP291" s="122"/>
      <c r="AQ291" s="124"/>
    </row>
    <row r="292" spans="1:43" ht="15.75" customHeight="1">
      <c r="A292" s="122"/>
      <c r="B292" s="122"/>
      <c r="C292" s="122"/>
      <c r="D292" s="122"/>
      <c r="E292" s="122"/>
      <c r="F292" s="122"/>
      <c r="G292" s="122"/>
      <c r="H292" s="122"/>
      <c r="I292" s="122"/>
      <c r="J292" s="122"/>
      <c r="K292" s="122"/>
      <c r="L292" s="122"/>
      <c r="M292" s="123"/>
      <c r="N292" s="123"/>
      <c r="O292" s="122"/>
      <c r="P292" s="124"/>
      <c r="Q292" s="122"/>
      <c r="R292" s="122"/>
      <c r="S292" s="122"/>
      <c r="T292" s="122"/>
      <c r="U292" s="122"/>
      <c r="V292" s="124"/>
      <c r="W292" s="125"/>
      <c r="X292" s="122"/>
      <c r="Y292" s="122"/>
      <c r="Z292" s="122"/>
      <c r="AA292" s="126"/>
      <c r="AB292" s="122"/>
      <c r="AC292" s="122"/>
      <c r="AD292" s="127"/>
      <c r="AE292" s="127"/>
      <c r="AF292" s="127"/>
      <c r="AG292" s="127"/>
      <c r="AH292" s="124"/>
      <c r="AI292" s="127"/>
      <c r="AJ292" s="127"/>
      <c r="AK292" s="126"/>
      <c r="AL292" s="122"/>
      <c r="AM292" s="122"/>
      <c r="AN292" s="122"/>
      <c r="AO292" s="122"/>
      <c r="AP292" s="122"/>
      <c r="AQ292" s="124"/>
    </row>
    <row r="293" spans="1:43" ht="15.75" customHeight="1">
      <c r="A293" s="122"/>
      <c r="B293" s="122"/>
      <c r="C293" s="122"/>
      <c r="D293" s="122"/>
      <c r="E293" s="122"/>
      <c r="F293" s="122"/>
      <c r="G293" s="122"/>
      <c r="H293" s="122"/>
      <c r="I293" s="122"/>
      <c r="J293" s="122"/>
      <c r="K293" s="122"/>
      <c r="L293" s="122"/>
      <c r="M293" s="123"/>
      <c r="N293" s="123"/>
      <c r="O293" s="122"/>
      <c r="P293" s="124"/>
      <c r="Q293" s="122"/>
      <c r="R293" s="122"/>
      <c r="S293" s="122"/>
      <c r="T293" s="122"/>
      <c r="U293" s="122"/>
      <c r="V293" s="124"/>
      <c r="W293" s="125"/>
      <c r="X293" s="122"/>
      <c r="Y293" s="122"/>
      <c r="Z293" s="122"/>
      <c r="AA293" s="126"/>
      <c r="AB293" s="122"/>
      <c r="AC293" s="122"/>
      <c r="AD293" s="127"/>
      <c r="AE293" s="127"/>
      <c r="AF293" s="127"/>
      <c r="AG293" s="127"/>
      <c r="AH293" s="124"/>
      <c r="AI293" s="127"/>
      <c r="AJ293" s="127"/>
      <c r="AK293" s="126"/>
      <c r="AL293" s="122"/>
      <c r="AM293" s="122"/>
      <c r="AN293" s="122"/>
      <c r="AO293" s="122"/>
      <c r="AP293" s="122"/>
      <c r="AQ293" s="124"/>
    </row>
    <row r="294" spans="1:43" ht="15.75" customHeight="1">
      <c r="A294" s="122"/>
      <c r="B294" s="122"/>
      <c r="C294" s="122"/>
      <c r="D294" s="122"/>
      <c r="E294" s="122"/>
      <c r="F294" s="122"/>
      <c r="G294" s="122"/>
      <c r="H294" s="122"/>
      <c r="I294" s="122"/>
      <c r="J294" s="122"/>
      <c r="K294" s="122"/>
      <c r="L294" s="122"/>
      <c r="M294" s="123"/>
      <c r="N294" s="123"/>
      <c r="O294" s="122"/>
      <c r="P294" s="124"/>
      <c r="Q294" s="122"/>
      <c r="R294" s="122"/>
      <c r="S294" s="122"/>
      <c r="T294" s="122"/>
      <c r="U294" s="122"/>
      <c r="V294" s="124"/>
      <c r="W294" s="125"/>
      <c r="X294" s="122"/>
      <c r="Y294" s="122"/>
      <c r="Z294" s="122"/>
      <c r="AA294" s="126"/>
      <c r="AB294" s="122"/>
      <c r="AC294" s="122"/>
      <c r="AD294" s="127"/>
      <c r="AE294" s="127"/>
      <c r="AF294" s="127"/>
      <c r="AG294" s="127"/>
      <c r="AH294" s="124"/>
      <c r="AI294" s="127"/>
      <c r="AJ294" s="127"/>
      <c r="AK294" s="126"/>
      <c r="AL294" s="122"/>
      <c r="AM294" s="122"/>
      <c r="AN294" s="122"/>
      <c r="AO294" s="122"/>
      <c r="AP294" s="122"/>
      <c r="AQ294" s="124"/>
    </row>
    <row r="295" spans="1:43" ht="15.75" customHeight="1">
      <c r="A295" s="122"/>
      <c r="B295" s="122"/>
      <c r="C295" s="122"/>
      <c r="D295" s="122"/>
      <c r="E295" s="122"/>
      <c r="F295" s="122"/>
      <c r="G295" s="122"/>
      <c r="H295" s="122"/>
      <c r="I295" s="122"/>
      <c r="J295" s="122"/>
      <c r="K295" s="122"/>
      <c r="L295" s="122"/>
      <c r="M295" s="123"/>
      <c r="N295" s="123"/>
      <c r="O295" s="122"/>
      <c r="P295" s="124"/>
      <c r="Q295" s="122"/>
      <c r="R295" s="122"/>
      <c r="S295" s="122"/>
      <c r="T295" s="122"/>
      <c r="U295" s="122"/>
      <c r="V295" s="124"/>
      <c r="W295" s="125"/>
      <c r="X295" s="122"/>
      <c r="Y295" s="122"/>
      <c r="Z295" s="122"/>
      <c r="AA295" s="126"/>
      <c r="AB295" s="122"/>
      <c r="AC295" s="122"/>
      <c r="AD295" s="127"/>
      <c r="AE295" s="127"/>
      <c r="AF295" s="127"/>
      <c r="AG295" s="127"/>
      <c r="AH295" s="124"/>
      <c r="AI295" s="127"/>
      <c r="AJ295" s="127"/>
      <c r="AK295" s="126"/>
      <c r="AL295" s="122"/>
      <c r="AM295" s="122"/>
      <c r="AN295" s="122"/>
      <c r="AO295" s="122"/>
      <c r="AP295" s="122"/>
      <c r="AQ295" s="124"/>
    </row>
    <row r="296" spans="1:43" ht="15.75" customHeight="1">
      <c r="A296" s="122"/>
      <c r="B296" s="122"/>
      <c r="C296" s="122"/>
      <c r="D296" s="122"/>
      <c r="E296" s="122"/>
      <c r="F296" s="122"/>
      <c r="G296" s="122"/>
      <c r="H296" s="122"/>
      <c r="I296" s="122"/>
      <c r="J296" s="122"/>
      <c r="K296" s="122"/>
      <c r="L296" s="122"/>
      <c r="M296" s="123"/>
      <c r="N296" s="123"/>
      <c r="O296" s="122"/>
      <c r="P296" s="124"/>
      <c r="Q296" s="122"/>
      <c r="R296" s="122"/>
      <c r="S296" s="122"/>
      <c r="T296" s="122"/>
      <c r="U296" s="122"/>
      <c r="V296" s="124"/>
      <c r="W296" s="125"/>
      <c r="X296" s="122"/>
      <c r="Y296" s="122"/>
      <c r="Z296" s="122"/>
      <c r="AA296" s="126"/>
      <c r="AB296" s="122"/>
      <c r="AC296" s="122"/>
      <c r="AD296" s="127"/>
      <c r="AE296" s="127"/>
      <c r="AF296" s="127"/>
      <c r="AG296" s="127"/>
      <c r="AH296" s="124"/>
      <c r="AI296" s="127"/>
      <c r="AJ296" s="127"/>
      <c r="AK296" s="126"/>
      <c r="AL296" s="122"/>
      <c r="AM296" s="122"/>
      <c r="AN296" s="122"/>
      <c r="AO296" s="122"/>
      <c r="AP296" s="122"/>
      <c r="AQ296" s="124"/>
    </row>
    <row r="297" spans="1:43" ht="15.75" customHeight="1">
      <c r="A297" s="122"/>
      <c r="B297" s="122"/>
      <c r="C297" s="122"/>
      <c r="D297" s="122"/>
      <c r="E297" s="122"/>
      <c r="F297" s="122"/>
      <c r="G297" s="122"/>
      <c r="H297" s="122"/>
      <c r="I297" s="122"/>
      <c r="J297" s="122"/>
      <c r="K297" s="122"/>
      <c r="L297" s="122"/>
      <c r="M297" s="123"/>
      <c r="N297" s="123"/>
      <c r="O297" s="122"/>
      <c r="P297" s="124"/>
      <c r="Q297" s="122"/>
      <c r="R297" s="122"/>
      <c r="S297" s="122"/>
      <c r="T297" s="122"/>
      <c r="U297" s="122"/>
      <c r="V297" s="124"/>
      <c r="W297" s="125"/>
      <c r="X297" s="122"/>
      <c r="Y297" s="122"/>
      <c r="Z297" s="122"/>
      <c r="AA297" s="126"/>
      <c r="AB297" s="122"/>
      <c r="AC297" s="122"/>
      <c r="AD297" s="127"/>
      <c r="AE297" s="127"/>
      <c r="AF297" s="127"/>
      <c r="AG297" s="127"/>
      <c r="AH297" s="124"/>
      <c r="AI297" s="127"/>
      <c r="AJ297" s="127"/>
      <c r="AK297" s="126"/>
      <c r="AL297" s="122"/>
      <c r="AM297" s="122"/>
      <c r="AN297" s="122"/>
      <c r="AO297" s="122"/>
      <c r="AP297" s="122"/>
      <c r="AQ297" s="124"/>
    </row>
    <row r="298" spans="1:43" ht="15.75" customHeight="1">
      <c r="A298" s="122"/>
      <c r="B298" s="122"/>
      <c r="C298" s="122"/>
      <c r="D298" s="122"/>
      <c r="E298" s="122"/>
      <c r="F298" s="122"/>
      <c r="G298" s="122"/>
      <c r="H298" s="122"/>
      <c r="I298" s="122"/>
      <c r="J298" s="122"/>
      <c r="K298" s="122"/>
      <c r="L298" s="122"/>
      <c r="M298" s="123"/>
      <c r="N298" s="123"/>
      <c r="O298" s="122"/>
      <c r="P298" s="124"/>
      <c r="Q298" s="122"/>
      <c r="R298" s="122"/>
      <c r="S298" s="122"/>
      <c r="T298" s="122"/>
      <c r="U298" s="122"/>
      <c r="V298" s="124"/>
      <c r="W298" s="125"/>
      <c r="X298" s="122"/>
      <c r="Y298" s="122"/>
      <c r="Z298" s="122"/>
      <c r="AA298" s="126"/>
      <c r="AB298" s="122"/>
      <c r="AC298" s="122"/>
      <c r="AD298" s="127"/>
      <c r="AE298" s="127"/>
      <c r="AF298" s="127"/>
      <c r="AG298" s="127"/>
      <c r="AH298" s="124"/>
      <c r="AI298" s="127"/>
      <c r="AJ298" s="127"/>
      <c r="AK298" s="126"/>
      <c r="AL298" s="122"/>
      <c r="AM298" s="122"/>
      <c r="AN298" s="122"/>
      <c r="AO298" s="122"/>
      <c r="AP298" s="122"/>
      <c r="AQ298" s="124"/>
    </row>
    <row r="299" spans="1:43" ht="15.75" customHeight="1">
      <c r="A299" s="122"/>
      <c r="B299" s="122"/>
      <c r="C299" s="122"/>
      <c r="D299" s="122"/>
      <c r="E299" s="122"/>
      <c r="F299" s="122"/>
      <c r="G299" s="122"/>
      <c r="H299" s="122"/>
      <c r="I299" s="122"/>
      <c r="J299" s="122"/>
      <c r="K299" s="122"/>
      <c r="L299" s="122"/>
      <c r="M299" s="123"/>
      <c r="N299" s="123"/>
      <c r="O299" s="122"/>
      <c r="P299" s="124"/>
      <c r="Q299" s="122"/>
      <c r="R299" s="122"/>
      <c r="S299" s="122"/>
      <c r="T299" s="122"/>
      <c r="U299" s="122"/>
      <c r="V299" s="124"/>
      <c r="W299" s="125"/>
      <c r="X299" s="122"/>
      <c r="Y299" s="122"/>
      <c r="Z299" s="122"/>
      <c r="AA299" s="126"/>
      <c r="AB299" s="122"/>
      <c r="AC299" s="122"/>
      <c r="AD299" s="127"/>
      <c r="AE299" s="127"/>
      <c r="AF299" s="127"/>
      <c r="AG299" s="127"/>
      <c r="AH299" s="124"/>
      <c r="AI299" s="127"/>
      <c r="AJ299" s="127"/>
      <c r="AK299" s="126"/>
      <c r="AL299" s="122"/>
      <c r="AM299" s="122"/>
      <c r="AN299" s="122"/>
      <c r="AO299" s="122"/>
      <c r="AP299" s="122"/>
      <c r="AQ299" s="124"/>
    </row>
    <row r="300" spans="1:43" ht="15.75" customHeight="1">
      <c r="A300" s="122"/>
      <c r="B300" s="122"/>
      <c r="C300" s="122"/>
      <c r="D300" s="122"/>
      <c r="E300" s="122"/>
      <c r="F300" s="122"/>
      <c r="G300" s="122"/>
      <c r="H300" s="122"/>
      <c r="I300" s="122"/>
      <c r="J300" s="122"/>
      <c r="K300" s="122"/>
      <c r="L300" s="122"/>
      <c r="M300" s="123"/>
      <c r="N300" s="123"/>
      <c r="O300" s="122"/>
      <c r="P300" s="124"/>
      <c r="Q300" s="122"/>
      <c r="R300" s="122"/>
      <c r="S300" s="122"/>
      <c r="T300" s="122"/>
      <c r="U300" s="122"/>
      <c r="V300" s="124"/>
      <c r="W300" s="125"/>
      <c r="X300" s="122"/>
      <c r="Y300" s="122"/>
      <c r="Z300" s="122"/>
      <c r="AA300" s="126"/>
      <c r="AB300" s="122"/>
      <c r="AC300" s="122"/>
      <c r="AD300" s="127"/>
      <c r="AE300" s="127"/>
      <c r="AF300" s="127"/>
      <c r="AG300" s="127"/>
      <c r="AH300" s="124"/>
      <c r="AI300" s="127"/>
      <c r="AJ300" s="127"/>
      <c r="AK300" s="126"/>
      <c r="AL300" s="122"/>
      <c r="AM300" s="122"/>
      <c r="AN300" s="122"/>
      <c r="AO300" s="122"/>
      <c r="AP300" s="122"/>
      <c r="AQ300" s="124"/>
    </row>
    <row r="301" spans="1:43" ht="15.75" customHeight="1">
      <c r="A301" s="122"/>
      <c r="B301" s="122"/>
      <c r="C301" s="122"/>
      <c r="D301" s="122"/>
      <c r="E301" s="122"/>
      <c r="F301" s="122"/>
      <c r="G301" s="122"/>
      <c r="H301" s="122"/>
      <c r="I301" s="122"/>
      <c r="J301" s="122"/>
      <c r="K301" s="122"/>
      <c r="L301" s="122"/>
      <c r="M301" s="123"/>
      <c r="N301" s="123"/>
      <c r="O301" s="122"/>
      <c r="P301" s="124"/>
      <c r="Q301" s="122"/>
      <c r="R301" s="122"/>
      <c r="S301" s="122"/>
      <c r="T301" s="122"/>
      <c r="U301" s="122"/>
      <c r="V301" s="124"/>
      <c r="W301" s="125"/>
      <c r="X301" s="122"/>
      <c r="Y301" s="122"/>
      <c r="Z301" s="122"/>
      <c r="AA301" s="126"/>
      <c r="AB301" s="122"/>
      <c r="AC301" s="122"/>
      <c r="AD301" s="127"/>
      <c r="AE301" s="127"/>
      <c r="AF301" s="127"/>
      <c r="AG301" s="127"/>
      <c r="AH301" s="124"/>
      <c r="AI301" s="127"/>
      <c r="AJ301" s="127"/>
      <c r="AK301" s="126"/>
      <c r="AL301" s="122"/>
      <c r="AM301" s="122"/>
      <c r="AN301" s="122"/>
      <c r="AO301" s="122"/>
      <c r="AP301" s="122"/>
      <c r="AQ301" s="124"/>
    </row>
    <row r="302" spans="1:43" ht="15.75" customHeight="1">
      <c r="A302" s="122"/>
      <c r="B302" s="122"/>
      <c r="C302" s="122"/>
      <c r="D302" s="122"/>
      <c r="E302" s="122"/>
      <c r="F302" s="122"/>
      <c r="G302" s="122"/>
      <c r="H302" s="122"/>
      <c r="I302" s="122"/>
      <c r="J302" s="122"/>
      <c r="K302" s="122"/>
      <c r="L302" s="122"/>
      <c r="M302" s="123"/>
      <c r="N302" s="123"/>
      <c r="O302" s="122"/>
      <c r="P302" s="124"/>
      <c r="Q302" s="122"/>
      <c r="R302" s="122"/>
      <c r="S302" s="122"/>
      <c r="T302" s="122"/>
      <c r="U302" s="122"/>
      <c r="V302" s="124"/>
      <c r="W302" s="125"/>
      <c r="X302" s="122"/>
      <c r="Y302" s="122"/>
      <c r="Z302" s="122"/>
      <c r="AA302" s="126"/>
      <c r="AB302" s="122"/>
      <c r="AC302" s="122"/>
      <c r="AD302" s="127"/>
      <c r="AE302" s="127"/>
      <c r="AF302" s="127"/>
      <c r="AG302" s="127"/>
      <c r="AH302" s="124"/>
      <c r="AI302" s="127"/>
      <c r="AJ302" s="127"/>
      <c r="AK302" s="126"/>
      <c r="AL302" s="122"/>
      <c r="AM302" s="122"/>
      <c r="AN302" s="122"/>
      <c r="AO302" s="122"/>
      <c r="AP302" s="122"/>
      <c r="AQ302" s="124"/>
    </row>
    <row r="303" spans="1:43" ht="15.75" customHeight="1">
      <c r="A303" s="122"/>
      <c r="B303" s="122"/>
      <c r="C303" s="122"/>
      <c r="D303" s="122"/>
      <c r="E303" s="122"/>
      <c r="F303" s="122"/>
      <c r="G303" s="122"/>
      <c r="H303" s="122"/>
      <c r="I303" s="122"/>
      <c r="J303" s="122"/>
      <c r="K303" s="122"/>
      <c r="L303" s="122"/>
      <c r="M303" s="123"/>
      <c r="N303" s="123"/>
      <c r="O303" s="122"/>
      <c r="P303" s="124"/>
      <c r="Q303" s="122"/>
      <c r="R303" s="122"/>
      <c r="S303" s="122"/>
      <c r="T303" s="122"/>
      <c r="U303" s="122"/>
      <c r="V303" s="124"/>
      <c r="W303" s="125"/>
      <c r="X303" s="122"/>
      <c r="Y303" s="122"/>
      <c r="Z303" s="122"/>
      <c r="AA303" s="126"/>
      <c r="AB303" s="122"/>
      <c r="AC303" s="122"/>
      <c r="AD303" s="127"/>
      <c r="AE303" s="127"/>
      <c r="AF303" s="127"/>
      <c r="AG303" s="127"/>
      <c r="AH303" s="124"/>
      <c r="AI303" s="127"/>
      <c r="AJ303" s="127"/>
      <c r="AK303" s="126"/>
      <c r="AL303" s="122"/>
      <c r="AM303" s="122"/>
      <c r="AN303" s="122"/>
      <c r="AO303" s="122"/>
      <c r="AP303" s="122"/>
      <c r="AQ303" s="124"/>
    </row>
    <row r="304" spans="1:43" ht="15.75" customHeight="1">
      <c r="A304" s="122"/>
      <c r="B304" s="122"/>
      <c r="C304" s="122"/>
      <c r="D304" s="122"/>
      <c r="E304" s="122"/>
      <c r="F304" s="122"/>
      <c r="G304" s="122"/>
      <c r="H304" s="122"/>
      <c r="I304" s="122"/>
      <c r="J304" s="122"/>
      <c r="K304" s="122"/>
      <c r="L304" s="122"/>
      <c r="M304" s="123"/>
      <c r="N304" s="123"/>
      <c r="O304" s="122"/>
      <c r="P304" s="124"/>
      <c r="Q304" s="122"/>
      <c r="R304" s="122"/>
      <c r="S304" s="122"/>
      <c r="T304" s="122"/>
      <c r="U304" s="122"/>
      <c r="V304" s="124"/>
      <c r="W304" s="125"/>
      <c r="X304" s="122"/>
      <c r="Y304" s="122"/>
      <c r="Z304" s="122"/>
      <c r="AA304" s="126"/>
      <c r="AB304" s="122"/>
      <c r="AC304" s="122"/>
      <c r="AD304" s="127"/>
      <c r="AE304" s="127"/>
      <c r="AF304" s="127"/>
      <c r="AG304" s="127"/>
      <c r="AH304" s="124"/>
      <c r="AI304" s="127"/>
      <c r="AJ304" s="127"/>
      <c r="AK304" s="126"/>
      <c r="AL304" s="122"/>
      <c r="AM304" s="122"/>
      <c r="AN304" s="122"/>
      <c r="AO304" s="122"/>
      <c r="AP304" s="122"/>
      <c r="AQ304" s="124"/>
    </row>
    <row r="305" spans="1:43" ht="15.75" customHeight="1">
      <c r="A305" s="122"/>
      <c r="B305" s="122"/>
      <c r="C305" s="122"/>
      <c r="D305" s="122"/>
      <c r="E305" s="122"/>
      <c r="F305" s="122"/>
      <c r="G305" s="122"/>
      <c r="H305" s="122"/>
      <c r="I305" s="122"/>
      <c r="J305" s="122"/>
      <c r="K305" s="122"/>
      <c r="L305" s="122"/>
      <c r="M305" s="123"/>
      <c r="N305" s="123"/>
      <c r="O305" s="122"/>
      <c r="P305" s="124"/>
      <c r="Q305" s="122"/>
      <c r="R305" s="122"/>
      <c r="S305" s="122"/>
      <c r="T305" s="122"/>
      <c r="U305" s="122"/>
      <c r="V305" s="124"/>
      <c r="W305" s="125"/>
      <c r="X305" s="122"/>
      <c r="Y305" s="122"/>
      <c r="Z305" s="122"/>
      <c r="AA305" s="126"/>
      <c r="AB305" s="122"/>
      <c r="AC305" s="122"/>
      <c r="AD305" s="127"/>
      <c r="AE305" s="127"/>
      <c r="AF305" s="127"/>
      <c r="AG305" s="127"/>
      <c r="AH305" s="124"/>
      <c r="AI305" s="127"/>
      <c r="AJ305" s="127"/>
      <c r="AK305" s="126"/>
      <c r="AL305" s="122"/>
      <c r="AM305" s="122"/>
      <c r="AN305" s="122"/>
      <c r="AO305" s="122"/>
      <c r="AP305" s="122"/>
      <c r="AQ305" s="124"/>
    </row>
    <row r="306" spans="1:43" ht="15.75" customHeight="1">
      <c r="A306" s="122"/>
      <c r="B306" s="122"/>
      <c r="C306" s="122"/>
      <c r="D306" s="122"/>
      <c r="E306" s="122"/>
      <c r="F306" s="122"/>
      <c r="G306" s="122"/>
      <c r="H306" s="122"/>
      <c r="I306" s="122"/>
      <c r="J306" s="122"/>
      <c r="K306" s="122"/>
      <c r="L306" s="122"/>
      <c r="M306" s="123"/>
      <c r="N306" s="123"/>
      <c r="O306" s="122"/>
      <c r="P306" s="124"/>
      <c r="Q306" s="122"/>
      <c r="R306" s="122"/>
      <c r="S306" s="122"/>
      <c r="T306" s="122"/>
      <c r="U306" s="122"/>
      <c r="V306" s="124"/>
      <c r="W306" s="125"/>
      <c r="X306" s="122"/>
      <c r="Y306" s="122"/>
      <c r="Z306" s="122"/>
      <c r="AA306" s="126"/>
      <c r="AB306" s="122"/>
      <c r="AC306" s="122"/>
      <c r="AD306" s="127"/>
      <c r="AE306" s="127"/>
      <c r="AF306" s="127"/>
      <c r="AG306" s="127"/>
      <c r="AH306" s="124"/>
      <c r="AI306" s="127"/>
      <c r="AJ306" s="127"/>
      <c r="AK306" s="126"/>
      <c r="AL306" s="122"/>
      <c r="AM306" s="122"/>
      <c r="AN306" s="122"/>
      <c r="AO306" s="122"/>
      <c r="AP306" s="122"/>
      <c r="AQ306" s="124"/>
    </row>
    <row r="307" spans="1:43" ht="15.75" customHeight="1">
      <c r="A307" s="122"/>
      <c r="B307" s="122"/>
      <c r="C307" s="122"/>
      <c r="D307" s="122"/>
      <c r="E307" s="122"/>
      <c r="F307" s="122"/>
      <c r="G307" s="122"/>
      <c r="H307" s="122"/>
      <c r="I307" s="122"/>
      <c r="J307" s="122"/>
      <c r="K307" s="122"/>
      <c r="L307" s="122"/>
      <c r="M307" s="123"/>
      <c r="N307" s="123"/>
      <c r="O307" s="122"/>
      <c r="P307" s="124"/>
      <c r="Q307" s="122"/>
      <c r="R307" s="122"/>
      <c r="S307" s="122"/>
      <c r="T307" s="122"/>
      <c r="U307" s="122"/>
      <c r="V307" s="124"/>
      <c r="W307" s="125"/>
      <c r="X307" s="122"/>
      <c r="Y307" s="122"/>
      <c r="Z307" s="122"/>
      <c r="AA307" s="126"/>
      <c r="AB307" s="122"/>
      <c r="AC307" s="122"/>
      <c r="AD307" s="127"/>
      <c r="AE307" s="127"/>
      <c r="AF307" s="127"/>
      <c r="AG307" s="127"/>
      <c r="AH307" s="124"/>
      <c r="AI307" s="127"/>
      <c r="AJ307" s="127"/>
      <c r="AK307" s="126"/>
      <c r="AL307" s="122"/>
      <c r="AM307" s="122"/>
      <c r="AN307" s="122"/>
      <c r="AO307" s="122"/>
      <c r="AP307" s="122"/>
      <c r="AQ307" s="124"/>
    </row>
    <row r="308" spans="1:43" ht="15.75" customHeight="1">
      <c r="A308" s="122"/>
      <c r="B308" s="122"/>
      <c r="C308" s="122"/>
      <c r="D308" s="122"/>
      <c r="E308" s="122"/>
      <c r="F308" s="122"/>
      <c r="G308" s="122"/>
      <c r="H308" s="122"/>
      <c r="I308" s="122"/>
      <c r="J308" s="122"/>
      <c r="K308" s="122"/>
      <c r="L308" s="122"/>
      <c r="M308" s="123"/>
      <c r="N308" s="123"/>
      <c r="O308" s="122"/>
      <c r="P308" s="124"/>
      <c r="Q308" s="122"/>
      <c r="R308" s="122"/>
      <c r="S308" s="122"/>
      <c r="T308" s="122"/>
      <c r="U308" s="122"/>
      <c r="V308" s="124"/>
      <c r="W308" s="125"/>
      <c r="X308" s="122"/>
      <c r="Y308" s="122"/>
      <c r="Z308" s="122"/>
      <c r="AA308" s="126"/>
      <c r="AB308" s="122"/>
      <c r="AC308" s="122"/>
      <c r="AD308" s="127"/>
      <c r="AE308" s="127"/>
      <c r="AF308" s="127"/>
      <c r="AG308" s="127"/>
      <c r="AH308" s="124"/>
      <c r="AI308" s="127"/>
      <c r="AJ308" s="127"/>
      <c r="AK308" s="126"/>
      <c r="AL308" s="122"/>
      <c r="AM308" s="122"/>
      <c r="AN308" s="122"/>
      <c r="AO308" s="122"/>
      <c r="AP308" s="122"/>
      <c r="AQ308" s="124"/>
    </row>
    <row r="309" spans="1:43" ht="15.75" customHeight="1">
      <c r="A309" s="122"/>
      <c r="B309" s="122"/>
      <c r="C309" s="122"/>
      <c r="D309" s="122"/>
      <c r="E309" s="122"/>
      <c r="F309" s="122"/>
      <c r="G309" s="122"/>
      <c r="H309" s="122"/>
      <c r="I309" s="122"/>
      <c r="J309" s="122"/>
      <c r="K309" s="122"/>
      <c r="L309" s="122"/>
      <c r="M309" s="123"/>
      <c r="N309" s="123"/>
      <c r="O309" s="122"/>
      <c r="P309" s="124"/>
      <c r="Q309" s="122"/>
      <c r="R309" s="122"/>
      <c r="S309" s="122"/>
      <c r="T309" s="122"/>
      <c r="U309" s="122"/>
      <c r="V309" s="124"/>
      <c r="W309" s="125"/>
      <c r="X309" s="122"/>
      <c r="Y309" s="122"/>
      <c r="Z309" s="122"/>
      <c r="AA309" s="126"/>
      <c r="AB309" s="122"/>
      <c r="AC309" s="122"/>
      <c r="AD309" s="127"/>
      <c r="AE309" s="127"/>
      <c r="AF309" s="127"/>
      <c r="AG309" s="127"/>
      <c r="AH309" s="124"/>
      <c r="AI309" s="127"/>
      <c r="AJ309" s="127"/>
      <c r="AK309" s="126"/>
      <c r="AL309" s="122"/>
      <c r="AM309" s="122"/>
      <c r="AN309" s="122"/>
      <c r="AO309" s="122"/>
      <c r="AP309" s="122"/>
      <c r="AQ309" s="124"/>
    </row>
    <row r="310" spans="1:43" ht="15.75" customHeight="1">
      <c r="A310" s="122"/>
      <c r="B310" s="122"/>
      <c r="C310" s="122"/>
      <c r="D310" s="122"/>
      <c r="E310" s="122"/>
      <c r="F310" s="122"/>
      <c r="G310" s="122"/>
      <c r="H310" s="122"/>
      <c r="I310" s="122"/>
      <c r="J310" s="122"/>
      <c r="K310" s="122"/>
      <c r="L310" s="122"/>
      <c r="M310" s="123"/>
      <c r="N310" s="123"/>
      <c r="O310" s="122"/>
      <c r="P310" s="124"/>
      <c r="Q310" s="122"/>
      <c r="R310" s="122"/>
      <c r="S310" s="122"/>
      <c r="T310" s="122"/>
      <c r="U310" s="122"/>
      <c r="V310" s="124"/>
      <c r="W310" s="125"/>
      <c r="X310" s="122"/>
      <c r="Y310" s="122"/>
      <c r="Z310" s="122"/>
      <c r="AA310" s="126"/>
      <c r="AB310" s="122"/>
      <c r="AC310" s="122"/>
      <c r="AD310" s="127"/>
      <c r="AE310" s="127"/>
      <c r="AF310" s="127"/>
      <c r="AG310" s="127"/>
      <c r="AH310" s="124"/>
      <c r="AI310" s="127"/>
      <c r="AJ310" s="127"/>
      <c r="AK310" s="126"/>
      <c r="AL310" s="122"/>
      <c r="AM310" s="122"/>
      <c r="AN310" s="122"/>
      <c r="AO310" s="122"/>
      <c r="AP310" s="122"/>
      <c r="AQ310" s="124"/>
    </row>
    <row r="311" spans="1:43" ht="15.75" customHeight="1">
      <c r="A311" s="122"/>
      <c r="B311" s="122"/>
      <c r="C311" s="122"/>
      <c r="D311" s="122"/>
      <c r="E311" s="122"/>
      <c r="F311" s="122"/>
      <c r="G311" s="122"/>
      <c r="H311" s="122"/>
      <c r="I311" s="122"/>
      <c r="J311" s="122"/>
      <c r="K311" s="122"/>
      <c r="L311" s="122"/>
      <c r="M311" s="123"/>
      <c r="N311" s="123"/>
      <c r="O311" s="122"/>
      <c r="P311" s="124"/>
      <c r="Q311" s="122"/>
      <c r="R311" s="122"/>
      <c r="S311" s="122"/>
      <c r="T311" s="122"/>
      <c r="U311" s="122"/>
      <c r="V311" s="124"/>
      <c r="W311" s="125"/>
      <c r="X311" s="122"/>
      <c r="Y311" s="122"/>
      <c r="Z311" s="122"/>
      <c r="AA311" s="126"/>
      <c r="AB311" s="122"/>
      <c r="AC311" s="122"/>
      <c r="AD311" s="127"/>
      <c r="AE311" s="127"/>
      <c r="AF311" s="127"/>
      <c r="AG311" s="127"/>
      <c r="AH311" s="124"/>
      <c r="AI311" s="127"/>
      <c r="AJ311" s="127"/>
      <c r="AK311" s="126"/>
      <c r="AL311" s="122"/>
      <c r="AM311" s="122"/>
      <c r="AN311" s="122"/>
      <c r="AO311" s="122"/>
      <c r="AP311" s="122"/>
      <c r="AQ311" s="124"/>
    </row>
    <row r="312" spans="1:43" ht="15.75" customHeight="1">
      <c r="A312" s="122"/>
      <c r="B312" s="122"/>
      <c r="C312" s="122"/>
      <c r="D312" s="122"/>
      <c r="E312" s="122"/>
      <c r="F312" s="122"/>
      <c r="G312" s="122"/>
      <c r="H312" s="122"/>
      <c r="I312" s="122"/>
      <c r="J312" s="122"/>
      <c r="K312" s="122"/>
      <c r="L312" s="122"/>
      <c r="M312" s="123"/>
      <c r="N312" s="123"/>
      <c r="O312" s="122"/>
      <c r="P312" s="124"/>
      <c r="Q312" s="122"/>
      <c r="R312" s="122"/>
      <c r="S312" s="122"/>
      <c r="T312" s="122"/>
      <c r="U312" s="122"/>
      <c r="V312" s="124"/>
      <c r="W312" s="125"/>
      <c r="X312" s="122"/>
      <c r="Y312" s="122"/>
      <c r="Z312" s="122"/>
      <c r="AA312" s="126"/>
      <c r="AB312" s="122"/>
      <c r="AC312" s="122"/>
      <c r="AD312" s="127"/>
      <c r="AE312" s="127"/>
      <c r="AF312" s="127"/>
      <c r="AG312" s="127"/>
      <c r="AH312" s="124"/>
      <c r="AI312" s="127"/>
      <c r="AJ312" s="127"/>
      <c r="AK312" s="126"/>
      <c r="AL312" s="122"/>
      <c r="AM312" s="122"/>
      <c r="AN312" s="122"/>
      <c r="AO312" s="122"/>
      <c r="AP312" s="122"/>
      <c r="AQ312" s="124"/>
    </row>
    <row r="313" spans="1:43" ht="15.75" customHeight="1">
      <c r="A313" s="122"/>
      <c r="B313" s="122"/>
      <c r="C313" s="122"/>
      <c r="D313" s="122"/>
      <c r="E313" s="122"/>
      <c r="F313" s="122"/>
      <c r="G313" s="122"/>
      <c r="H313" s="122"/>
      <c r="I313" s="122"/>
      <c r="J313" s="122"/>
      <c r="K313" s="122"/>
      <c r="L313" s="122"/>
      <c r="M313" s="123"/>
      <c r="N313" s="123"/>
      <c r="O313" s="122"/>
      <c r="P313" s="124"/>
      <c r="Q313" s="122"/>
      <c r="R313" s="122"/>
      <c r="S313" s="122"/>
      <c r="T313" s="122"/>
      <c r="U313" s="122"/>
      <c r="V313" s="124"/>
      <c r="W313" s="125"/>
      <c r="X313" s="122"/>
      <c r="Y313" s="122"/>
      <c r="Z313" s="122"/>
      <c r="AA313" s="126"/>
      <c r="AB313" s="122"/>
      <c r="AC313" s="122"/>
      <c r="AD313" s="127"/>
      <c r="AE313" s="127"/>
      <c r="AF313" s="127"/>
      <c r="AG313" s="127"/>
      <c r="AH313" s="124"/>
      <c r="AI313" s="127"/>
      <c r="AJ313" s="127"/>
      <c r="AK313" s="126"/>
      <c r="AL313" s="122"/>
      <c r="AM313" s="122"/>
      <c r="AN313" s="122"/>
      <c r="AO313" s="122"/>
      <c r="AP313" s="122"/>
      <c r="AQ313" s="124"/>
    </row>
    <row r="314" spans="1:43" ht="15.75" customHeight="1">
      <c r="A314" s="122"/>
      <c r="B314" s="122"/>
      <c r="C314" s="122"/>
      <c r="D314" s="122"/>
      <c r="E314" s="122"/>
      <c r="F314" s="122"/>
      <c r="G314" s="122"/>
      <c r="H314" s="122"/>
      <c r="I314" s="122"/>
      <c r="J314" s="122"/>
      <c r="K314" s="122"/>
      <c r="L314" s="122"/>
      <c r="M314" s="123"/>
      <c r="N314" s="123"/>
      <c r="O314" s="122"/>
      <c r="P314" s="124"/>
      <c r="Q314" s="122"/>
      <c r="R314" s="122"/>
      <c r="S314" s="122"/>
      <c r="T314" s="122"/>
      <c r="U314" s="122"/>
      <c r="V314" s="124"/>
      <c r="W314" s="125"/>
      <c r="X314" s="122"/>
      <c r="Y314" s="122"/>
      <c r="Z314" s="122"/>
      <c r="AA314" s="126"/>
      <c r="AB314" s="122"/>
      <c r="AC314" s="122"/>
      <c r="AD314" s="127"/>
      <c r="AE314" s="127"/>
      <c r="AF314" s="127"/>
      <c r="AG314" s="127"/>
      <c r="AH314" s="124"/>
      <c r="AI314" s="127"/>
      <c r="AJ314" s="127"/>
      <c r="AK314" s="126"/>
      <c r="AL314" s="122"/>
      <c r="AM314" s="122"/>
      <c r="AN314" s="122"/>
      <c r="AO314" s="122"/>
      <c r="AP314" s="122"/>
      <c r="AQ314" s="124"/>
    </row>
    <row r="315" spans="1:43" ht="15.75" customHeight="1">
      <c r="A315" s="122"/>
      <c r="B315" s="122"/>
      <c r="C315" s="122"/>
      <c r="D315" s="122"/>
      <c r="E315" s="122"/>
      <c r="F315" s="122"/>
      <c r="G315" s="122"/>
      <c r="H315" s="122"/>
      <c r="I315" s="122"/>
      <c r="J315" s="122"/>
      <c r="K315" s="122"/>
      <c r="L315" s="122"/>
      <c r="M315" s="123"/>
      <c r="N315" s="123"/>
      <c r="O315" s="122"/>
      <c r="P315" s="124"/>
      <c r="Q315" s="122"/>
      <c r="R315" s="122"/>
      <c r="S315" s="122"/>
      <c r="T315" s="122"/>
      <c r="U315" s="122"/>
      <c r="V315" s="124"/>
      <c r="W315" s="125"/>
      <c r="X315" s="122"/>
      <c r="Y315" s="122"/>
      <c r="Z315" s="122"/>
      <c r="AA315" s="126"/>
      <c r="AB315" s="122"/>
      <c r="AC315" s="122"/>
      <c r="AD315" s="127"/>
      <c r="AE315" s="127"/>
      <c r="AF315" s="127"/>
      <c r="AG315" s="127"/>
      <c r="AH315" s="124"/>
      <c r="AI315" s="127"/>
      <c r="AJ315" s="127"/>
      <c r="AK315" s="126"/>
      <c r="AL315" s="122"/>
      <c r="AM315" s="122"/>
      <c r="AN315" s="122"/>
      <c r="AO315" s="122"/>
      <c r="AP315" s="122"/>
      <c r="AQ315" s="124"/>
    </row>
    <row r="316" spans="1:43" ht="15.75" customHeight="1">
      <c r="A316" s="122"/>
      <c r="B316" s="122"/>
      <c r="C316" s="122"/>
      <c r="D316" s="122"/>
      <c r="E316" s="122"/>
      <c r="F316" s="122"/>
      <c r="G316" s="122"/>
      <c r="H316" s="122"/>
      <c r="I316" s="122"/>
      <c r="J316" s="122"/>
      <c r="K316" s="122"/>
      <c r="L316" s="122"/>
      <c r="M316" s="123"/>
      <c r="N316" s="123"/>
      <c r="O316" s="122"/>
      <c r="P316" s="124"/>
      <c r="Q316" s="122"/>
      <c r="R316" s="122"/>
      <c r="S316" s="122"/>
      <c r="T316" s="122"/>
      <c r="U316" s="122"/>
      <c r="V316" s="124"/>
      <c r="W316" s="125"/>
      <c r="X316" s="122"/>
      <c r="Y316" s="122"/>
      <c r="Z316" s="122"/>
      <c r="AA316" s="126"/>
      <c r="AB316" s="122"/>
      <c r="AC316" s="122"/>
      <c r="AD316" s="127"/>
      <c r="AE316" s="127"/>
      <c r="AF316" s="127"/>
      <c r="AG316" s="127"/>
      <c r="AH316" s="124"/>
      <c r="AI316" s="127"/>
      <c r="AJ316" s="127"/>
      <c r="AK316" s="126"/>
      <c r="AL316" s="122"/>
      <c r="AM316" s="122"/>
      <c r="AN316" s="122"/>
      <c r="AO316" s="122"/>
      <c r="AP316" s="122"/>
      <c r="AQ316" s="124"/>
    </row>
    <row r="317" spans="1:43" ht="15.75" customHeight="1">
      <c r="A317" s="122"/>
      <c r="B317" s="122"/>
      <c r="C317" s="122"/>
      <c r="D317" s="122"/>
      <c r="E317" s="122"/>
      <c r="F317" s="122"/>
      <c r="G317" s="122"/>
      <c r="H317" s="122"/>
      <c r="I317" s="122"/>
      <c r="J317" s="122"/>
      <c r="K317" s="122"/>
      <c r="L317" s="122"/>
      <c r="M317" s="123"/>
      <c r="N317" s="123"/>
      <c r="O317" s="122"/>
      <c r="P317" s="124"/>
      <c r="Q317" s="122"/>
      <c r="R317" s="122"/>
      <c r="S317" s="122"/>
      <c r="T317" s="122"/>
      <c r="U317" s="122"/>
      <c r="V317" s="124"/>
      <c r="W317" s="125"/>
      <c r="X317" s="122"/>
      <c r="Y317" s="122"/>
      <c r="Z317" s="122"/>
      <c r="AA317" s="126"/>
      <c r="AB317" s="122"/>
      <c r="AC317" s="122"/>
      <c r="AD317" s="127"/>
      <c r="AE317" s="127"/>
      <c r="AF317" s="127"/>
      <c r="AG317" s="127"/>
      <c r="AH317" s="124"/>
      <c r="AI317" s="127"/>
      <c r="AJ317" s="127"/>
      <c r="AK317" s="126"/>
      <c r="AL317" s="122"/>
      <c r="AM317" s="122"/>
      <c r="AN317" s="122"/>
      <c r="AO317" s="122"/>
      <c r="AP317" s="122"/>
      <c r="AQ317" s="124"/>
    </row>
    <row r="318" spans="1:43" ht="15.75" customHeight="1">
      <c r="A318" s="122"/>
      <c r="B318" s="122"/>
      <c r="C318" s="122"/>
      <c r="D318" s="122"/>
      <c r="E318" s="122"/>
      <c r="F318" s="122"/>
      <c r="G318" s="122"/>
      <c r="H318" s="122"/>
      <c r="I318" s="122"/>
      <c r="J318" s="122"/>
      <c r="K318" s="122"/>
      <c r="L318" s="122"/>
      <c r="M318" s="123"/>
      <c r="N318" s="123"/>
      <c r="O318" s="122"/>
      <c r="P318" s="124"/>
      <c r="Q318" s="122"/>
      <c r="R318" s="122"/>
      <c r="S318" s="122"/>
      <c r="T318" s="122"/>
      <c r="U318" s="122"/>
      <c r="V318" s="124"/>
      <c r="W318" s="125"/>
      <c r="X318" s="122"/>
      <c r="Y318" s="122"/>
      <c r="Z318" s="122"/>
      <c r="AA318" s="126"/>
      <c r="AB318" s="122"/>
      <c r="AC318" s="122"/>
      <c r="AD318" s="127"/>
      <c r="AE318" s="127"/>
      <c r="AF318" s="127"/>
      <c r="AG318" s="127"/>
      <c r="AH318" s="124"/>
      <c r="AI318" s="127"/>
      <c r="AJ318" s="127"/>
      <c r="AK318" s="126"/>
      <c r="AL318" s="122"/>
      <c r="AM318" s="122"/>
      <c r="AN318" s="122"/>
      <c r="AO318" s="122"/>
      <c r="AP318" s="122"/>
      <c r="AQ318" s="124"/>
    </row>
    <row r="319" spans="1:43" ht="15.75" customHeight="1">
      <c r="A319" s="122"/>
      <c r="B319" s="122"/>
      <c r="C319" s="122"/>
      <c r="D319" s="122"/>
      <c r="E319" s="122"/>
      <c r="F319" s="122"/>
      <c r="G319" s="122"/>
      <c r="H319" s="122"/>
      <c r="I319" s="122"/>
      <c r="J319" s="122"/>
      <c r="K319" s="122"/>
      <c r="L319" s="122"/>
      <c r="M319" s="123"/>
      <c r="N319" s="123"/>
      <c r="O319" s="122"/>
      <c r="P319" s="124"/>
      <c r="Q319" s="122"/>
      <c r="R319" s="122"/>
      <c r="S319" s="122"/>
      <c r="T319" s="122"/>
      <c r="U319" s="122"/>
      <c r="V319" s="124"/>
      <c r="W319" s="125"/>
      <c r="X319" s="122"/>
      <c r="Y319" s="122"/>
      <c r="Z319" s="122"/>
      <c r="AA319" s="126"/>
      <c r="AB319" s="122"/>
      <c r="AC319" s="122"/>
      <c r="AD319" s="127"/>
      <c r="AE319" s="127"/>
      <c r="AF319" s="127"/>
      <c r="AG319" s="127"/>
      <c r="AH319" s="124"/>
      <c r="AI319" s="127"/>
      <c r="AJ319" s="127"/>
      <c r="AK319" s="126"/>
      <c r="AL319" s="122"/>
      <c r="AM319" s="122"/>
      <c r="AN319" s="122"/>
      <c r="AO319" s="122"/>
      <c r="AP319" s="122"/>
      <c r="AQ319" s="124"/>
    </row>
    <row r="320" spans="1:43" ht="15.75" customHeight="1">
      <c r="A320" s="122"/>
      <c r="B320" s="122"/>
      <c r="C320" s="122"/>
      <c r="D320" s="122"/>
      <c r="E320" s="122"/>
      <c r="F320" s="122"/>
      <c r="G320" s="122"/>
      <c r="H320" s="122"/>
      <c r="I320" s="122"/>
      <c r="J320" s="122"/>
      <c r="K320" s="122"/>
      <c r="L320" s="122"/>
      <c r="M320" s="123"/>
      <c r="N320" s="123"/>
      <c r="O320" s="122"/>
      <c r="P320" s="124"/>
      <c r="Q320" s="122"/>
      <c r="R320" s="122"/>
      <c r="S320" s="122"/>
      <c r="T320" s="122"/>
      <c r="U320" s="122"/>
      <c r="V320" s="124"/>
      <c r="W320" s="125"/>
      <c r="X320" s="122"/>
      <c r="Y320" s="122"/>
      <c r="Z320" s="122"/>
      <c r="AA320" s="126"/>
      <c r="AB320" s="122"/>
      <c r="AC320" s="122"/>
      <c r="AD320" s="127"/>
      <c r="AE320" s="127"/>
      <c r="AF320" s="127"/>
      <c r="AG320" s="127"/>
      <c r="AH320" s="124"/>
      <c r="AI320" s="127"/>
      <c r="AJ320" s="127"/>
      <c r="AK320" s="126"/>
      <c r="AL320" s="122"/>
      <c r="AM320" s="122"/>
      <c r="AN320" s="122"/>
      <c r="AO320" s="122"/>
      <c r="AP320" s="122"/>
      <c r="AQ320" s="124"/>
    </row>
    <row r="321" spans="1:43" ht="15.75" customHeight="1">
      <c r="A321" s="122"/>
      <c r="B321" s="122"/>
      <c r="C321" s="122"/>
      <c r="D321" s="122"/>
      <c r="E321" s="122"/>
      <c r="F321" s="122"/>
      <c r="G321" s="122"/>
      <c r="H321" s="122"/>
      <c r="I321" s="122"/>
      <c r="J321" s="122"/>
      <c r="K321" s="122"/>
      <c r="L321" s="122"/>
      <c r="M321" s="123"/>
      <c r="N321" s="123"/>
      <c r="O321" s="122"/>
      <c r="P321" s="124"/>
      <c r="Q321" s="122"/>
      <c r="R321" s="122"/>
      <c r="S321" s="122"/>
      <c r="T321" s="122"/>
      <c r="U321" s="122"/>
      <c r="V321" s="124"/>
      <c r="W321" s="125"/>
      <c r="X321" s="122"/>
      <c r="Y321" s="122"/>
      <c r="Z321" s="122"/>
      <c r="AA321" s="126"/>
      <c r="AB321" s="122"/>
      <c r="AC321" s="122"/>
      <c r="AD321" s="127"/>
      <c r="AE321" s="127"/>
      <c r="AF321" s="127"/>
      <c r="AG321" s="127"/>
      <c r="AH321" s="124"/>
      <c r="AI321" s="127"/>
      <c r="AJ321" s="127"/>
      <c r="AK321" s="126"/>
      <c r="AL321" s="122"/>
      <c r="AM321" s="122"/>
      <c r="AN321" s="122"/>
      <c r="AO321" s="122"/>
      <c r="AP321" s="122"/>
      <c r="AQ321" s="124"/>
    </row>
    <row r="322" spans="1:43" ht="15.75" customHeight="1">
      <c r="A322" s="122"/>
      <c r="B322" s="122"/>
      <c r="C322" s="122"/>
      <c r="D322" s="122"/>
      <c r="E322" s="122"/>
      <c r="F322" s="122"/>
      <c r="G322" s="122"/>
      <c r="H322" s="122"/>
      <c r="I322" s="122"/>
      <c r="J322" s="122"/>
      <c r="K322" s="122"/>
      <c r="L322" s="122"/>
      <c r="M322" s="123"/>
      <c r="N322" s="123"/>
      <c r="O322" s="122"/>
      <c r="P322" s="124"/>
      <c r="Q322" s="122"/>
      <c r="R322" s="122"/>
      <c r="S322" s="122"/>
      <c r="T322" s="122"/>
      <c r="U322" s="122"/>
      <c r="V322" s="124"/>
      <c r="W322" s="125"/>
      <c r="X322" s="122"/>
      <c r="Y322" s="122"/>
      <c r="Z322" s="122"/>
      <c r="AA322" s="126"/>
      <c r="AB322" s="122"/>
      <c r="AC322" s="122"/>
      <c r="AD322" s="127"/>
      <c r="AE322" s="127"/>
      <c r="AF322" s="127"/>
      <c r="AG322" s="127"/>
      <c r="AH322" s="124"/>
      <c r="AI322" s="127"/>
      <c r="AJ322" s="127"/>
      <c r="AK322" s="126"/>
      <c r="AL322" s="122"/>
      <c r="AM322" s="122"/>
      <c r="AN322" s="122"/>
      <c r="AO322" s="122"/>
      <c r="AP322" s="122"/>
      <c r="AQ322" s="124"/>
    </row>
    <row r="323" spans="1:43" ht="15.75" customHeight="1">
      <c r="A323" s="122"/>
      <c r="B323" s="122"/>
      <c r="C323" s="122"/>
      <c r="D323" s="122"/>
      <c r="E323" s="122"/>
      <c r="F323" s="122"/>
      <c r="G323" s="122"/>
      <c r="H323" s="122"/>
      <c r="I323" s="122"/>
      <c r="J323" s="122"/>
      <c r="K323" s="122"/>
      <c r="L323" s="122"/>
      <c r="M323" s="123"/>
      <c r="N323" s="123"/>
      <c r="O323" s="122"/>
      <c r="P323" s="124"/>
      <c r="Q323" s="122"/>
      <c r="R323" s="122"/>
      <c r="S323" s="122"/>
      <c r="T323" s="122"/>
      <c r="U323" s="122"/>
      <c r="V323" s="124"/>
      <c r="W323" s="125"/>
      <c r="X323" s="122"/>
      <c r="Y323" s="122"/>
      <c r="Z323" s="122"/>
      <c r="AA323" s="126"/>
      <c r="AB323" s="122"/>
      <c r="AC323" s="122"/>
      <c r="AD323" s="127"/>
      <c r="AE323" s="127"/>
      <c r="AF323" s="127"/>
      <c r="AG323" s="127"/>
      <c r="AH323" s="124"/>
      <c r="AI323" s="127"/>
      <c r="AJ323" s="127"/>
      <c r="AK323" s="126"/>
      <c r="AL323" s="122"/>
      <c r="AM323" s="122"/>
      <c r="AN323" s="122"/>
      <c r="AO323" s="122"/>
      <c r="AP323" s="122"/>
      <c r="AQ323" s="124"/>
    </row>
    <row r="324" spans="1:43" ht="15.75" customHeight="1">
      <c r="A324" s="122"/>
      <c r="B324" s="122"/>
      <c r="C324" s="122"/>
      <c r="D324" s="122"/>
      <c r="E324" s="122"/>
      <c r="F324" s="122"/>
      <c r="G324" s="122"/>
      <c r="H324" s="122"/>
      <c r="I324" s="122"/>
      <c r="J324" s="122"/>
      <c r="K324" s="122"/>
      <c r="L324" s="122"/>
      <c r="M324" s="123"/>
      <c r="N324" s="123"/>
      <c r="O324" s="122"/>
      <c r="P324" s="124"/>
      <c r="Q324" s="122"/>
      <c r="R324" s="122"/>
      <c r="S324" s="122"/>
      <c r="T324" s="122"/>
      <c r="U324" s="122"/>
      <c r="V324" s="124"/>
      <c r="W324" s="125"/>
      <c r="X324" s="122"/>
      <c r="Y324" s="122"/>
      <c r="Z324" s="122"/>
      <c r="AA324" s="126"/>
      <c r="AB324" s="122"/>
      <c r="AC324" s="122"/>
      <c r="AD324" s="127"/>
      <c r="AE324" s="127"/>
      <c r="AF324" s="127"/>
      <c r="AG324" s="127"/>
      <c r="AH324" s="124"/>
      <c r="AI324" s="127"/>
      <c r="AJ324" s="127"/>
      <c r="AK324" s="126"/>
      <c r="AL324" s="122"/>
      <c r="AM324" s="122"/>
      <c r="AN324" s="122"/>
      <c r="AO324" s="122"/>
      <c r="AP324" s="122"/>
      <c r="AQ324" s="124"/>
    </row>
    <row r="325" spans="1:43" ht="15.75" customHeight="1">
      <c r="A325" s="122"/>
      <c r="B325" s="122"/>
      <c r="C325" s="122"/>
      <c r="D325" s="122"/>
      <c r="E325" s="122"/>
      <c r="F325" s="122"/>
      <c r="G325" s="122"/>
      <c r="H325" s="122"/>
      <c r="I325" s="122"/>
      <c r="J325" s="122"/>
      <c r="K325" s="122"/>
      <c r="L325" s="122"/>
      <c r="M325" s="123"/>
      <c r="N325" s="123"/>
      <c r="O325" s="122"/>
      <c r="P325" s="124"/>
      <c r="Q325" s="122"/>
      <c r="R325" s="122"/>
      <c r="S325" s="122"/>
      <c r="T325" s="122"/>
      <c r="U325" s="122"/>
      <c r="V325" s="124"/>
      <c r="W325" s="125"/>
      <c r="X325" s="122"/>
      <c r="Y325" s="122"/>
      <c r="Z325" s="122"/>
      <c r="AA325" s="126"/>
      <c r="AB325" s="122"/>
      <c r="AC325" s="122"/>
      <c r="AD325" s="127"/>
      <c r="AE325" s="127"/>
      <c r="AF325" s="127"/>
      <c r="AG325" s="127"/>
      <c r="AH325" s="124"/>
      <c r="AI325" s="127"/>
      <c r="AJ325" s="127"/>
      <c r="AK325" s="126"/>
      <c r="AL325" s="122"/>
      <c r="AM325" s="122"/>
      <c r="AN325" s="122"/>
      <c r="AO325" s="122"/>
      <c r="AP325" s="122"/>
      <c r="AQ325" s="124"/>
    </row>
    <row r="326" spans="1:43" ht="15.75" customHeight="1">
      <c r="A326" s="122"/>
      <c r="B326" s="122"/>
      <c r="C326" s="122"/>
      <c r="D326" s="122"/>
      <c r="E326" s="122"/>
      <c r="F326" s="122"/>
      <c r="G326" s="122"/>
      <c r="H326" s="122"/>
      <c r="I326" s="122"/>
      <c r="J326" s="122"/>
      <c r="K326" s="122"/>
      <c r="L326" s="122"/>
      <c r="M326" s="123"/>
      <c r="N326" s="123"/>
      <c r="O326" s="122"/>
      <c r="P326" s="124"/>
      <c r="Q326" s="122"/>
      <c r="R326" s="122"/>
      <c r="S326" s="122"/>
      <c r="T326" s="122"/>
      <c r="U326" s="122"/>
      <c r="V326" s="124"/>
      <c r="W326" s="125"/>
      <c r="X326" s="122"/>
      <c r="Y326" s="122"/>
      <c r="Z326" s="122"/>
      <c r="AA326" s="126"/>
      <c r="AB326" s="122"/>
      <c r="AC326" s="122"/>
      <c r="AD326" s="127"/>
      <c r="AE326" s="127"/>
      <c r="AF326" s="127"/>
      <c r="AG326" s="127"/>
      <c r="AH326" s="124"/>
      <c r="AI326" s="127"/>
      <c r="AJ326" s="127"/>
      <c r="AK326" s="126"/>
      <c r="AL326" s="122"/>
      <c r="AM326" s="122"/>
      <c r="AN326" s="122"/>
      <c r="AO326" s="122"/>
      <c r="AP326" s="122"/>
      <c r="AQ326" s="124"/>
    </row>
    <row r="327" spans="1:43" ht="15.75" customHeight="1">
      <c r="A327" s="122"/>
      <c r="B327" s="122"/>
      <c r="C327" s="122"/>
      <c r="D327" s="122"/>
      <c r="E327" s="122"/>
      <c r="F327" s="122"/>
      <c r="G327" s="122"/>
      <c r="H327" s="122"/>
      <c r="I327" s="122"/>
      <c r="J327" s="122"/>
      <c r="K327" s="122"/>
      <c r="L327" s="122"/>
      <c r="M327" s="123"/>
      <c r="N327" s="123"/>
      <c r="O327" s="122"/>
      <c r="P327" s="124"/>
      <c r="Q327" s="122"/>
      <c r="R327" s="122"/>
      <c r="S327" s="122"/>
      <c r="T327" s="122"/>
      <c r="U327" s="122"/>
      <c r="V327" s="124"/>
      <c r="W327" s="125"/>
      <c r="X327" s="122"/>
      <c r="Y327" s="122"/>
      <c r="Z327" s="122"/>
      <c r="AA327" s="126"/>
      <c r="AB327" s="122"/>
      <c r="AC327" s="122"/>
      <c r="AD327" s="127"/>
      <c r="AE327" s="127"/>
      <c r="AF327" s="127"/>
      <c r="AG327" s="127"/>
      <c r="AH327" s="124"/>
      <c r="AI327" s="127"/>
      <c r="AJ327" s="127"/>
      <c r="AK327" s="126"/>
      <c r="AL327" s="122"/>
      <c r="AM327" s="122"/>
      <c r="AN327" s="122"/>
      <c r="AO327" s="122"/>
      <c r="AP327" s="122"/>
      <c r="AQ327" s="124"/>
    </row>
    <row r="328" spans="1:43" ht="15.75" customHeight="1">
      <c r="A328" s="122"/>
      <c r="B328" s="122"/>
      <c r="C328" s="122"/>
      <c r="D328" s="122"/>
      <c r="E328" s="122"/>
      <c r="F328" s="122"/>
      <c r="G328" s="122"/>
      <c r="H328" s="122"/>
      <c r="I328" s="122"/>
      <c r="J328" s="122"/>
      <c r="K328" s="122"/>
      <c r="L328" s="122"/>
      <c r="M328" s="123"/>
      <c r="N328" s="123"/>
      <c r="O328" s="122"/>
      <c r="P328" s="124"/>
      <c r="Q328" s="122"/>
      <c r="R328" s="122"/>
      <c r="S328" s="122"/>
      <c r="T328" s="122"/>
      <c r="U328" s="122"/>
      <c r="V328" s="124"/>
      <c r="W328" s="125"/>
      <c r="X328" s="122"/>
      <c r="Y328" s="122"/>
      <c r="Z328" s="122"/>
      <c r="AA328" s="126"/>
      <c r="AB328" s="122"/>
      <c r="AC328" s="122"/>
      <c r="AD328" s="127"/>
      <c r="AE328" s="127"/>
      <c r="AF328" s="127"/>
      <c r="AG328" s="127"/>
      <c r="AH328" s="124"/>
      <c r="AI328" s="127"/>
      <c r="AJ328" s="127"/>
      <c r="AK328" s="126"/>
      <c r="AL328" s="122"/>
      <c r="AM328" s="122"/>
      <c r="AN328" s="122"/>
      <c r="AO328" s="122"/>
      <c r="AP328" s="122"/>
      <c r="AQ328" s="124"/>
    </row>
    <row r="329" spans="1:43" ht="15.75" customHeight="1">
      <c r="A329" s="122"/>
      <c r="B329" s="122"/>
      <c r="C329" s="122"/>
      <c r="D329" s="122"/>
      <c r="E329" s="122"/>
      <c r="F329" s="122"/>
      <c r="G329" s="122"/>
      <c r="H329" s="122"/>
      <c r="I329" s="122"/>
      <c r="J329" s="122"/>
      <c r="K329" s="122"/>
      <c r="L329" s="122"/>
      <c r="M329" s="123"/>
      <c r="N329" s="123"/>
      <c r="O329" s="122"/>
      <c r="P329" s="124"/>
      <c r="Q329" s="122"/>
      <c r="R329" s="122"/>
      <c r="S329" s="122"/>
      <c r="T329" s="122"/>
      <c r="U329" s="122"/>
      <c r="V329" s="124"/>
      <c r="W329" s="125"/>
      <c r="X329" s="122"/>
      <c r="Y329" s="122"/>
      <c r="Z329" s="122"/>
      <c r="AA329" s="126"/>
      <c r="AB329" s="122"/>
      <c r="AC329" s="122"/>
      <c r="AD329" s="127"/>
      <c r="AE329" s="127"/>
      <c r="AF329" s="127"/>
      <c r="AG329" s="127"/>
      <c r="AH329" s="124"/>
      <c r="AI329" s="127"/>
      <c r="AJ329" s="127"/>
      <c r="AK329" s="126"/>
      <c r="AL329" s="122"/>
      <c r="AM329" s="122"/>
      <c r="AN329" s="122"/>
      <c r="AO329" s="122"/>
      <c r="AP329" s="122"/>
      <c r="AQ329" s="124"/>
    </row>
    <row r="330" spans="1:43" ht="15.75" customHeight="1">
      <c r="A330" s="122"/>
      <c r="B330" s="122"/>
      <c r="C330" s="122"/>
      <c r="D330" s="122"/>
      <c r="E330" s="122"/>
      <c r="F330" s="122"/>
      <c r="G330" s="122"/>
      <c r="H330" s="122"/>
      <c r="I330" s="122"/>
      <c r="J330" s="122"/>
      <c r="K330" s="122"/>
      <c r="L330" s="122"/>
      <c r="M330" s="123"/>
      <c r="N330" s="123"/>
      <c r="O330" s="122"/>
      <c r="P330" s="124"/>
      <c r="Q330" s="122"/>
      <c r="R330" s="122"/>
      <c r="S330" s="122"/>
      <c r="T330" s="122"/>
      <c r="U330" s="122"/>
      <c r="V330" s="124"/>
      <c r="W330" s="125"/>
      <c r="X330" s="122"/>
      <c r="Y330" s="122"/>
      <c r="Z330" s="122"/>
      <c r="AA330" s="126"/>
      <c r="AB330" s="122"/>
      <c r="AC330" s="122"/>
      <c r="AD330" s="127"/>
      <c r="AE330" s="127"/>
      <c r="AF330" s="127"/>
      <c r="AG330" s="127"/>
      <c r="AH330" s="124"/>
      <c r="AI330" s="127"/>
      <c r="AJ330" s="127"/>
      <c r="AK330" s="126"/>
      <c r="AL330" s="122"/>
      <c r="AM330" s="122"/>
      <c r="AN330" s="122"/>
      <c r="AO330" s="122"/>
      <c r="AP330" s="122"/>
      <c r="AQ330" s="124"/>
    </row>
    <row r="331" spans="1:43" ht="15.75" customHeight="1">
      <c r="A331" s="122"/>
      <c r="B331" s="122"/>
      <c r="C331" s="122"/>
      <c r="D331" s="122"/>
      <c r="E331" s="122"/>
      <c r="F331" s="122"/>
      <c r="G331" s="122"/>
      <c r="H331" s="122"/>
      <c r="I331" s="122"/>
      <c r="J331" s="122"/>
      <c r="K331" s="122"/>
      <c r="L331" s="122"/>
      <c r="M331" s="123"/>
      <c r="N331" s="123"/>
      <c r="O331" s="122"/>
      <c r="P331" s="124"/>
      <c r="Q331" s="122"/>
      <c r="R331" s="122"/>
      <c r="S331" s="122"/>
      <c r="T331" s="122"/>
      <c r="U331" s="122"/>
      <c r="V331" s="124"/>
      <c r="W331" s="125"/>
      <c r="X331" s="122"/>
      <c r="Y331" s="122"/>
      <c r="Z331" s="122"/>
      <c r="AA331" s="126"/>
      <c r="AB331" s="122"/>
      <c r="AC331" s="122"/>
      <c r="AD331" s="127"/>
      <c r="AE331" s="127"/>
      <c r="AF331" s="127"/>
      <c r="AG331" s="127"/>
      <c r="AH331" s="124"/>
      <c r="AI331" s="127"/>
      <c r="AJ331" s="127"/>
      <c r="AK331" s="126"/>
      <c r="AL331" s="122"/>
      <c r="AM331" s="122"/>
      <c r="AN331" s="122"/>
      <c r="AO331" s="122"/>
      <c r="AP331" s="122"/>
      <c r="AQ331" s="124"/>
    </row>
    <row r="332" spans="1:43" ht="15.75" customHeight="1">
      <c r="A332" s="122"/>
      <c r="B332" s="122"/>
      <c r="C332" s="122"/>
      <c r="D332" s="122"/>
      <c r="E332" s="122"/>
      <c r="F332" s="122"/>
      <c r="G332" s="122"/>
      <c r="H332" s="122"/>
      <c r="I332" s="122"/>
      <c r="J332" s="122"/>
      <c r="K332" s="122"/>
      <c r="L332" s="122"/>
      <c r="M332" s="123"/>
      <c r="N332" s="123"/>
      <c r="O332" s="122"/>
      <c r="P332" s="124"/>
      <c r="Q332" s="122"/>
      <c r="R332" s="122"/>
      <c r="S332" s="122"/>
      <c r="T332" s="122"/>
      <c r="U332" s="122"/>
      <c r="V332" s="124"/>
      <c r="W332" s="125"/>
      <c r="X332" s="122"/>
      <c r="Y332" s="122"/>
      <c r="Z332" s="122"/>
      <c r="AA332" s="126"/>
      <c r="AB332" s="122"/>
      <c r="AC332" s="122"/>
      <c r="AD332" s="127"/>
      <c r="AE332" s="127"/>
      <c r="AF332" s="127"/>
      <c r="AG332" s="127"/>
      <c r="AH332" s="124"/>
      <c r="AI332" s="127"/>
      <c r="AJ332" s="127"/>
      <c r="AK332" s="126"/>
      <c r="AL332" s="122"/>
      <c r="AM332" s="122"/>
      <c r="AN332" s="122"/>
      <c r="AO332" s="122"/>
      <c r="AP332" s="122"/>
      <c r="AQ332" s="124"/>
    </row>
    <row r="333" spans="1:43" ht="15.75" customHeight="1">
      <c r="A333" s="122"/>
      <c r="B333" s="122"/>
      <c r="C333" s="122"/>
      <c r="D333" s="122"/>
      <c r="E333" s="122"/>
      <c r="F333" s="122"/>
      <c r="G333" s="122"/>
      <c r="H333" s="122"/>
      <c r="I333" s="122"/>
      <c r="J333" s="122"/>
      <c r="K333" s="122"/>
      <c r="L333" s="122"/>
      <c r="M333" s="123"/>
      <c r="N333" s="123"/>
      <c r="O333" s="122"/>
      <c r="P333" s="124"/>
      <c r="Q333" s="122"/>
      <c r="R333" s="122"/>
      <c r="S333" s="122"/>
      <c r="T333" s="122"/>
      <c r="U333" s="122"/>
      <c r="V333" s="124"/>
      <c r="W333" s="125"/>
      <c r="X333" s="122"/>
      <c r="Y333" s="122"/>
      <c r="Z333" s="122"/>
      <c r="AA333" s="126"/>
      <c r="AB333" s="122"/>
      <c r="AC333" s="122"/>
      <c r="AD333" s="127"/>
      <c r="AE333" s="127"/>
      <c r="AF333" s="127"/>
      <c r="AG333" s="127"/>
      <c r="AH333" s="124"/>
      <c r="AI333" s="127"/>
      <c r="AJ333" s="127"/>
      <c r="AK333" s="126"/>
      <c r="AL333" s="122"/>
      <c r="AM333" s="122"/>
      <c r="AN333" s="122"/>
      <c r="AO333" s="122"/>
      <c r="AP333" s="122"/>
      <c r="AQ333" s="124"/>
    </row>
    <row r="334" spans="1:43" ht="15.75" customHeight="1">
      <c r="A334" s="122"/>
      <c r="B334" s="122"/>
      <c r="C334" s="122"/>
      <c r="D334" s="122"/>
      <c r="E334" s="122"/>
      <c r="F334" s="122"/>
      <c r="G334" s="122"/>
      <c r="H334" s="122"/>
      <c r="I334" s="122"/>
      <c r="J334" s="122"/>
      <c r="K334" s="122"/>
      <c r="L334" s="122"/>
      <c r="M334" s="123"/>
      <c r="N334" s="123"/>
      <c r="O334" s="122"/>
      <c r="P334" s="124"/>
      <c r="Q334" s="122"/>
      <c r="R334" s="122"/>
      <c r="S334" s="122"/>
      <c r="T334" s="122"/>
      <c r="U334" s="122"/>
      <c r="V334" s="124"/>
      <c r="W334" s="125"/>
      <c r="X334" s="122"/>
      <c r="Y334" s="122"/>
      <c r="Z334" s="122"/>
      <c r="AA334" s="126"/>
      <c r="AB334" s="122"/>
      <c r="AC334" s="122"/>
      <c r="AD334" s="127"/>
      <c r="AE334" s="127"/>
      <c r="AF334" s="127"/>
      <c r="AG334" s="127"/>
      <c r="AH334" s="124"/>
      <c r="AI334" s="127"/>
      <c r="AJ334" s="127"/>
      <c r="AK334" s="126"/>
      <c r="AL334" s="122"/>
      <c r="AM334" s="122"/>
      <c r="AN334" s="122"/>
      <c r="AO334" s="122"/>
      <c r="AP334" s="122"/>
      <c r="AQ334" s="124"/>
    </row>
    <row r="335" spans="1:43" ht="15.75" customHeight="1">
      <c r="A335" s="122"/>
      <c r="B335" s="122"/>
      <c r="C335" s="122"/>
      <c r="D335" s="122"/>
      <c r="E335" s="122"/>
      <c r="F335" s="122"/>
      <c r="G335" s="122"/>
      <c r="H335" s="122"/>
      <c r="I335" s="122"/>
      <c r="J335" s="122"/>
      <c r="K335" s="122"/>
      <c r="L335" s="122"/>
      <c r="M335" s="123"/>
      <c r="N335" s="123"/>
      <c r="O335" s="122"/>
      <c r="P335" s="124"/>
      <c r="Q335" s="122"/>
      <c r="R335" s="122"/>
      <c r="S335" s="122"/>
      <c r="T335" s="122"/>
      <c r="U335" s="122"/>
      <c r="V335" s="124"/>
      <c r="W335" s="125"/>
      <c r="X335" s="122"/>
      <c r="Y335" s="122"/>
      <c r="Z335" s="122"/>
      <c r="AA335" s="126"/>
      <c r="AB335" s="122"/>
      <c r="AC335" s="122"/>
      <c r="AD335" s="127"/>
      <c r="AE335" s="127"/>
      <c r="AF335" s="127"/>
      <c r="AG335" s="127"/>
      <c r="AH335" s="124"/>
      <c r="AI335" s="127"/>
      <c r="AJ335" s="127"/>
      <c r="AK335" s="126"/>
      <c r="AL335" s="122"/>
      <c r="AM335" s="122"/>
      <c r="AN335" s="122"/>
      <c r="AO335" s="122"/>
      <c r="AP335" s="122"/>
      <c r="AQ335" s="124"/>
    </row>
    <row r="336" spans="1:43" ht="15.75" customHeight="1">
      <c r="A336" s="122"/>
      <c r="B336" s="122"/>
      <c r="C336" s="122"/>
      <c r="D336" s="122"/>
      <c r="E336" s="122"/>
      <c r="F336" s="122"/>
      <c r="G336" s="122"/>
      <c r="H336" s="122"/>
      <c r="I336" s="122"/>
      <c r="J336" s="122"/>
      <c r="K336" s="122"/>
      <c r="L336" s="122"/>
      <c r="M336" s="123"/>
      <c r="N336" s="123"/>
      <c r="O336" s="122"/>
      <c r="P336" s="124"/>
      <c r="Q336" s="122"/>
      <c r="R336" s="122"/>
      <c r="S336" s="122"/>
      <c r="T336" s="122"/>
      <c r="U336" s="122"/>
      <c r="V336" s="124"/>
      <c r="W336" s="125"/>
      <c r="X336" s="122"/>
      <c r="Y336" s="122"/>
      <c r="Z336" s="122"/>
      <c r="AA336" s="126"/>
      <c r="AB336" s="122"/>
      <c r="AC336" s="122"/>
      <c r="AD336" s="127"/>
      <c r="AE336" s="127"/>
      <c r="AF336" s="127"/>
      <c r="AG336" s="127"/>
      <c r="AH336" s="124"/>
      <c r="AI336" s="127"/>
      <c r="AJ336" s="127"/>
      <c r="AK336" s="126"/>
      <c r="AL336" s="122"/>
      <c r="AM336" s="122"/>
      <c r="AN336" s="122"/>
      <c r="AO336" s="122"/>
      <c r="AP336" s="122"/>
      <c r="AQ336" s="124"/>
    </row>
    <row r="337" spans="1:43" ht="15.75" customHeight="1">
      <c r="A337" s="122"/>
      <c r="B337" s="122"/>
      <c r="C337" s="122"/>
      <c r="D337" s="122"/>
      <c r="E337" s="122"/>
      <c r="F337" s="122"/>
      <c r="G337" s="122"/>
      <c r="H337" s="122"/>
      <c r="I337" s="122"/>
      <c r="J337" s="122"/>
      <c r="K337" s="122"/>
      <c r="L337" s="122"/>
      <c r="M337" s="123"/>
      <c r="N337" s="123"/>
      <c r="O337" s="122"/>
      <c r="P337" s="124"/>
      <c r="Q337" s="122"/>
      <c r="R337" s="122"/>
      <c r="S337" s="122"/>
      <c r="T337" s="122"/>
      <c r="U337" s="122"/>
      <c r="V337" s="124"/>
      <c r="W337" s="125"/>
      <c r="X337" s="122"/>
      <c r="Y337" s="122"/>
      <c r="Z337" s="122"/>
      <c r="AA337" s="126"/>
      <c r="AB337" s="122"/>
      <c r="AC337" s="122"/>
      <c r="AD337" s="127"/>
      <c r="AE337" s="127"/>
      <c r="AF337" s="127"/>
      <c r="AG337" s="127"/>
      <c r="AH337" s="124"/>
      <c r="AI337" s="127"/>
      <c r="AJ337" s="127"/>
      <c r="AK337" s="126"/>
      <c r="AL337" s="122"/>
      <c r="AM337" s="122"/>
      <c r="AN337" s="122"/>
      <c r="AO337" s="122"/>
      <c r="AP337" s="122"/>
      <c r="AQ337" s="124"/>
    </row>
    <row r="338" spans="1:43" ht="15.75" customHeight="1">
      <c r="A338" s="122"/>
      <c r="B338" s="122"/>
      <c r="C338" s="122"/>
      <c r="D338" s="122"/>
      <c r="E338" s="122"/>
      <c r="F338" s="122"/>
      <c r="G338" s="122"/>
      <c r="H338" s="122"/>
      <c r="I338" s="122"/>
      <c r="J338" s="122"/>
      <c r="K338" s="122"/>
      <c r="L338" s="122"/>
      <c r="M338" s="123"/>
      <c r="N338" s="123"/>
      <c r="O338" s="122"/>
      <c r="P338" s="124"/>
      <c r="Q338" s="122"/>
      <c r="R338" s="122"/>
      <c r="S338" s="122"/>
      <c r="T338" s="122"/>
      <c r="U338" s="122"/>
      <c r="V338" s="124"/>
      <c r="W338" s="125"/>
      <c r="X338" s="122"/>
      <c r="Y338" s="122"/>
      <c r="Z338" s="122"/>
      <c r="AA338" s="126"/>
      <c r="AB338" s="122"/>
      <c r="AC338" s="122"/>
      <c r="AD338" s="127"/>
      <c r="AE338" s="127"/>
      <c r="AF338" s="127"/>
      <c r="AG338" s="127"/>
      <c r="AH338" s="124"/>
      <c r="AI338" s="127"/>
      <c r="AJ338" s="127"/>
      <c r="AK338" s="126"/>
      <c r="AL338" s="122"/>
      <c r="AM338" s="122"/>
      <c r="AN338" s="122"/>
      <c r="AO338" s="122"/>
      <c r="AP338" s="122"/>
      <c r="AQ338" s="124"/>
    </row>
    <row r="339" spans="1:43" ht="15.75" customHeight="1">
      <c r="A339" s="122"/>
      <c r="B339" s="122"/>
      <c r="C339" s="122"/>
      <c r="D339" s="122"/>
      <c r="E339" s="122"/>
      <c r="F339" s="122"/>
      <c r="G339" s="122"/>
      <c r="H339" s="122"/>
      <c r="I339" s="122"/>
      <c r="J339" s="122"/>
      <c r="K339" s="122"/>
      <c r="L339" s="122"/>
      <c r="M339" s="123"/>
      <c r="N339" s="123"/>
      <c r="O339" s="122"/>
      <c r="P339" s="124"/>
      <c r="Q339" s="122"/>
      <c r="R339" s="122"/>
      <c r="S339" s="122"/>
      <c r="T339" s="122"/>
      <c r="U339" s="122"/>
      <c r="V339" s="124"/>
      <c r="W339" s="125"/>
      <c r="X339" s="122"/>
      <c r="Y339" s="122"/>
      <c r="Z339" s="122"/>
      <c r="AA339" s="126"/>
      <c r="AB339" s="122"/>
      <c r="AC339" s="122"/>
      <c r="AD339" s="127"/>
      <c r="AE339" s="127"/>
      <c r="AF339" s="127"/>
      <c r="AG339" s="127"/>
      <c r="AH339" s="124"/>
      <c r="AI339" s="127"/>
      <c r="AJ339" s="127"/>
      <c r="AK339" s="126"/>
      <c r="AL339" s="122"/>
      <c r="AM339" s="122"/>
      <c r="AN339" s="122"/>
      <c r="AO339" s="122"/>
      <c r="AP339" s="122"/>
      <c r="AQ339" s="124"/>
    </row>
    <row r="340" spans="1:43" ht="15.75" customHeight="1">
      <c r="A340" s="122"/>
      <c r="B340" s="122"/>
      <c r="C340" s="122"/>
      <c r="D340" s="122"/>
      <c r="E340" s="122"/>
      <c r="F340" s="122"/>
      <c r="G340" s="122"/>
      <c r="H340" s="122"/>
      <c r="I340" s="122"/>
      <c r="J340" s="122"/>
      <c r="K340" s="122"/>
      <c r="L340" s="122"/>
      <c r="M340" s="123"/>
      <c r="N340" s="123"/>
      <c r="O340" s="122"/>
      <c r="P340" s="124"/>
      <c r="Q340" s="122"/>
      <c r="R340" s="122"/>
      <c r="S340" s="122"/>
      <c r="T340" s="122"/>
      <c r="U340" s="122"/>
      <c r="V340" s="124"/>
      <c r="W340" s="125"/>
      <c r="X340" s="122"/>
      <c r="Y340" s="122"/>
      <c r="Z340" s="122"/>
      <c r="AA340" s="126"/>
      <c r="AB340" s="122"/>
      <c r="AC340" s="122"/>
      <c r="AD340" s="127"/>
      <c r="AE340" s="127"/>
      <c r="AF340" s="127"/>
      <c r="AG340" s="127"/>
      <c r="AH340" s="124"/>
      <c r="AI340" s="127"/>
      <c r="AJ340" s="127"/>
      <c r="AK340" s="126"/>
      <c r="AL340" s="122"/>
      <c r="AM340" s="122"/>
      <c r="AN340" s="122"/>
      <c r="AO340" s="122"/>
      <c r="AP340" s="122"/>
      <c r="AQ340" s="124"/>
    </row>
    <row r="341" spans="1:43" ht="15.75" customHeight="1">
      <c r="A341" s="122"/>
      <c r="B341" s="122"/>
      <c r="C341" s="122"/>
      <c r="D341" s="122"/>
      <c r="E341" s="122"/>
      <c r="F341" s="122"/>
      <c r="G341" s="122"/>
      <c r="H341" s="122"/>
      <c r="I341" s="122"/>
      <c r="J341" s="122"/>
      <c r="K341" s="122"/>
      <c r="L341" s="122"/>
      <c r="M341" s="123"/>
      <c r="N341" s="123"/>
      <c r="O341" s="122"/>
      <c r="P341" s="124"/>
      <c r="Q341" s="122"/>
      <c r="R341" s="122"/>
      <c r="S341" s="122"/>
      <c r="T341" s="122"/>
      <c r="U341" s="122"/>
      <c r="V341" s="124"/>
      <c r="W341" s="125"/>
      <c r="X341" s="122"/>
      <c r="Y341" s="122"/>
      <c r="Z341" s="122"/>
      <c r="AA341" s="126"/>
      <c r="AB341" s="122"/>
      <c r="AC341" s="122"/>
      <c r="AD341" s="127"/>
      <c r="AE341" s="127"/>
      <c r="AF341" s="127"/>
      <c r="AG341" s="127"/>
      <c r="AH341" s="124"/>
      <c r="AI341" s="127"/>
      <c r="AJ341" s="127"/>
      <c r="AK341" s="126"/>
      <c r="AL341" s="122"/>
      <c r="AM341" s="122"/>
      <c r="AN341" s="122"/>
      <c r="AO341" s="122"/>
      <c r="AP341" s="122"/>
      <c r="AQ341" s="124"/>
    </row>
    <row r="342" spans="1:43" ht="15.75" customHeight="1">
      <c r="A342" s="122"/>
      <c r="B342" s="122"/>
      <c r="C342" s="122"/>
      <c r="D342" s="122"/>
      <c r="E342" s="122"/>
      <c r="F342" s="122"/>
      <c r="G342" s="122"/>
      <c r="H342" s="122"/>
      <c r="I342" s="122"/>
      <c r="J342" s="122"/>
      <c r="K342" s="122"/>
      <c r="L342" s="122"/>
      <c r="M342" s="123"/>
      <c r="N342" s="123"/>
      <c r="O342" s="122"/>
      <c r="P342" s="124"/>
      <c r="Q342" s="122"/>
      <c r="R342" s="122"/>
      <c r="S342" s="122"/>
      <c r="T342" s="122"/>
      <c r="U342" s="122"/>
      <c r="V342" s="124"/>
      <c r="W342" s="125"/>
      <c r="X342" s="122"/>
      <c r="Y342" s="122"/>
      <c r="Z342" s="122"/>
      <c r="AA342" s="126"/>
      <c r="AB342" s="122"/>
      <c r="AC342" s="122"/>
      <c r="AD342" s="127"/>
      <c r="AE342" s="127"/>
      <c r="AF342" s="127"/>
      <c r="AG342" s="127"/>
      <c r="AH342" s="124"/>
      <c r="AI342" s="127"/>
      <c r="AJ342" s="127"/>
      <c r="AK342" s="126"/>
      <c r="AL342" s="122"/>
      <c r="AM342" s="122"/>
      <c r="AN342" s="122"/>
      <c r="AO342" s="122"/>
      <c r="AP342" s="122"/>
      <c r="AQ342" s="124"/>
    </row>
    <row r="343" spans="1:43" ht="15.75" customHeight="1">
      <c r="A343" s="122"/>
      <c r="B343" s="122"/>
      <c r="C343" s="122"/>
      <c r="D343" s="122"/>
      <c r="E343" s="122"/>
      <c r="F343" s="122"/>
      <c r="G343" s="122"/>
      <c r="H343" s="122"/>
      <c r="I343" s="122"/>
      <c r="J343" s="122"/>
      <c r="K343" s="122"/>
      <c r="L343" s="122"/>
      <c r="M343" s="123"/>
      <c r="N343" s="123"/>
      <c r="O343" s="122"/>
      <c r="P343" s="124"/>
      <c r="Q343" s="122"/>
      <c r="R343" s="122"/>
      <c r="S343" s="122"/>
      <c r="T343" s="122"/>
      <c r="U343" s="122"/>
      <c r="V343" s="124"/>
      <c r="W343" s="125"/>
      <c r="X343" s="122"/>
      <c r="Y343" s="122"/>
      <c r="Z343" s="122"/>
      <c r="AA343" s="126"/>
      <c r="AB343" s="122"/>
      <c r="AC343" s="122"/>
      <c r="AD343" s="127"/>
      <c r="AE343" s="127"/>
      <c r="AF343" s="127"/>
      <c r="AG343" s="127"/>
      <c r="AH343" s="124"/>
      <c r="AI343" s="127"/>
      <c r="AJ343" s="127"/>
      <c r="AK343" s="126"/>
      <c r="AL343" s="122"/>
      <c r="AM343" s="122"/>
      <c r="AN343" s="122"/>
      <c r="AO343" s="122"/>
      <c r="AP343" s="122"/>
      <c r="AQ343" s="124"/>
    </row>
    <row r="344" spans="1:43" ht="15.75" customHeight="1">
      <c r="A344" s="122"/>
      <c r="B344" s="122"/>
      <c r="C344" s="122"/>
      <c r="D344" s="122"/>
      <c r="E344" s="122"/>
      <c r="F344" s="122"/>
      <c r="G344" s="122"/>
      <c r="H344" s="122"/>
      <c r="I344" s="122"/>
      <c r="J344" s="122"/>
      <c r="K344" s="122"/>
      <c r="L344" s="122"/>
      <c r="M344" s="123"/>
      <c r="N344" s="123"/>
      <c r="O344" s="122"/>
      <c r="P344" s="124"/>
      <c r="Q344" s="122"/>
      <c r="R344" s="122"/>
      <c r="S344" s="122"/>
      <c r="T344" s="122"/>
      <c r="U344" s="122"/>
      <c r="V344" s="124"/>
      <c r="W344" s="125"/>
      <c r="X344" s="122"/>
      <c r="Y344" s="122"/>
      <c r="Z344" s="122"/>
      <c r="AA344" s="126"/>
      <c r="AB344" s="122"/>
      <c r="AC344" s="122"/>
      <c r="AD344" s="127"/>
      <c r="AE344" s="127"/>
      <c r="AF344" s="127"/>
      <c r="AG344" s="127"/>
      <c r="AH344" s="124"/>
      <c r="AI344" s="127"/>
      <c r="AJ344" s="127"/>
      <c r="AK344" s="126"/>
      <c r="AL344" s="122"/>
      <c r="AM344" s="122"/>
      <c r="AN344" s="122"/>
      <c r="AO344" s="122"/>
      <c r="AP344" s="122"/>
      <c r="AQ344" s="124"/>
    </row>
    <row r="345" spans="1:43" ht="15.75" customHeight="1">
      <c r="A345" s="122"/>
      <c r="B345" s="122"/>
      <c r="C345" s="122"/>
      <c r="D345" s="122"/>
      <c r="E345" s="122"/>
      <c r="F345" s="122"/>
      <c r="G345" s="122"/>
      <c r="H345" s="122"/>
      <c r="I345" s="122"/>
      <c r="J345" s="122"/>
      <c r="K345" s="122"/>
      <c r="L345" s="122"/>
      <c r="M345" s="123"/>
      <c r="N345" s="123"/>
      <c r="O345" s="122"/>
      <c r="P345" s="124"/>
      <c r="Q345" s="122"/>
      <c r="R345" s="122"/>
      <c r="S345" s="122"/>
      <c r="T345" s="122"/>
      <c r="U345" s="122"/>
      <c r="V345" s="124"/>
      <c r="W345" s="125"/>
      <c r="X345" s="122"/>
      <c r="Y345" s="122"/>
      <c r="Z345" s="122"/>
      <c r="AA345" s="126"/>
      <c r="AB345" s="122"/>
      <c r="AC345" s="122"/>
      <c r="AD345" s="127"/>
      <c r="AE345" s="127"/>
      <c r="AF345" s="127"/>
      <c r="AG345" s="127"/>
      <c r="AH345" s="124"/>
      <c r="AI345" s="127"/>
      <c r="AJ345" s="127"/>
      <c r="AK345" s="126"/>
      <c r="AL345" s="122"/>
      <c r="AM345" s="122"/>
      <c r="AN345" s="122"/>
      <c r="AO345" s="122"/>
      <c r="AP345" s="122"/>
      <c r="AQ345" s="124"/>
    </row>
    <row r="346" spans="1:43" ht="15.75" customHeight="1">
      <c r="A346" s="122"/>
      <c r="B346" s="122"/>
      <c r="C346" s="122"/>
      <c r="D346" s="122"/>
      <c r="E346" s="122"/>
      <c r="F346" s="122"/>
      <c r="G346" s="122"/>
      <c r="H346" s="122"/>
      <c r="I346" s="122"/>
      <c r="J346" s="122"/>
      <c r="K346" s="122"/>
      <c r="L346" s="122"/>
      <c r="M346" s="123"/>
      <c r="N346" s="123"/>
      <c r="O346" s="122"/>
      <c r="P346" s="124"/>
      <c r="Q346" s="122"/>
      <c r="R346" s="122"/>
      <c r="S346" s="122"/>
      <c r="T346" s="122"/>
      <c r="U346" s="122"/>
      <c r="V346" s="124"/>
      <c r="W346" s="125"/>
      <c r="X346" s="122"/>
      <c r="Y346" s="122"/>
      <c r="Z346" s="122"/>
      <c r="AA346" s="126"/>
      <c r="AB346" s="122"/>
      <c r="AC346" s="122"/>
      <c r="AD346" s="127"/>
      <c r="AE346" s="127"/>
      <c r="AF346" s="127"/>
      <c r="AG346" s="127"/>
      <c r="AH346" s="124"/>
      <c r="AI346" s="127"/>
      <c r="AJ346" s="127"/>
      <c r="AK346" s="126"/>
      <c r="AL346" s="122"/>
      <c r="AM346" s="122"/>
      <c r="AN346" s="122"/>
      <c r="AO346" s="122"/>
      <c r="AP346" s="122"/>
      <c r="AQ346" s="124"/>
    </row>
    <row r="347" spans="1:43" ht="15.75" customHeight="1">
      <c r="A347" s="122"/>
      <c r="B347" s="122"/>
      <c r="C347" s="122"/>
      <c r="D347" s="122"/>
      <c r="E347" s="122"/>
      <c r="F347" s="122"/>
      <c r="G347" s="122"/>
      <c r="H347" s="122"/>
      <c r="I347" s="122"/>
      <c r="J347" s="122"/>
      <c r="K347" s="122"/>
      <c r="L347" s="122"/>
      <c r="M347" s="123"/>
      <c r="N347" s="123"/>
      <c r="O347" s="122"/>
      <c r="P347" s="124"/>
      <c r="Q347" s="122"/>
      <c r="R347" s="122"/>
      <c r="S347" s="122"/>
      <c r="T347" s="122"/>
      <c r="U347" s="122"/>
      <c r="V347" s="124"/>
      <c r="W347" s="125"/>
      <c r="X347" s="122"/>
      <c r="Y347" s="122"/>
      <c r="Z347" s="122"/>
      <c r="AA347" s="126"/>
      <c r="AB347" s="122"/>
      <c r="AC347" s="122"/>
      <c r="AD347" s="127"/>
      <c r="AE347" s="127"/>
      <c r="AF347" s="127"/>
      <c r="AG347" s="127"/>
      <c r="AH347" s="124"/>
      <c r="AI347" s="127"/>
      <c r="AJ347" s="127"/>
      <c r="AK347" s="126"/>
      <c r="AL347" s="122"/>
      <c r="AM347" s="122"/>
      <c r="AN347" s="122"/>
      <c r="AO347" s="122"/>
      <c r="AP347" s="122"/>
      <c r="AQ347" s="124"/>
    </row>
    <row r="348" spans="1:43" ht="15.75" customHeight="1">
      <c r="A348" s="122"/>
      <c r="B348" s="122"/>
      <c r="C348" s="122"/>
      <c r="D348" s="122"/>
      <c r="E348" s="122"/>
      <c r="F348" s="122"/>
      <c r="G348" s="122"/>
      <c r="H348" s="122"/>
      <c r="I348" s="122"/>
      <c r="J348" s="122"/>
      <c r="K348" s="122"/>
      <c r="L348" s="122"/>
      <c r="M348" s="123"/>
      <c r="N348" s="123"/>
      <c r="O348" s="122"/>
      <c r="P348" s="124"/>
      <c r="Q348" s="122"/>
      <c r="R348" s="122"/>
      <c r="S348" s="122"/>
      <c r="T348" s="122"/>
      <c r="U348" s="122"/>
      <c r="V348" s="124"/>
      <c r="W348" s="125"/>
      <c r="X348" s="122"/>
      <c r="Y348" s="122"/>
      <c r="Z348" s="122"/>
      <c r="AA348" s="126"/>
      <c r="AB348" s="122"/>
      <c r="AC348" s="122"/>
      <c r="AD348" s="127"/>
      <c r="AE348" s="127"/>
      <c r="AF348" s="127"/>
      <c r="AG348" s="127"/>
      <c r="AH348" s="124"/>
      <c r="AI348" s="127"/>
      <c r="AJ348" s="127"/>
      <c r="AK348" s="126"/>
      <c r="AL348" s="122"/>
      <c r="AM348" s="122"/>
      <c r="AN348" s="122"/>
      <c r="AO348" s="122"/>
      <c r="AP348" s="122"/>
      <c r="AQ348" s="124"/>
    </row>
    <row r="349" spans="1:43" ht="15.75" customHeight="1">
      <c r="A349" s="122"/>
      <c r="B349" s="122"/>
      <c r="C349" s="122"/>
      <c r="D349" s="122"/>
      <c r="E349" s="122"/>
      <c r="F349" s="122"/>
      <c r="G349" s="122"/>
      <c r="H349" s="122"/>
      <c r="I349" s="122"/>
      <c r="J349" s="122"/>
      <c r="K349" s="122"/>
      <c r="L349" s="122"/>
      <c r="M349" s="123"/>
      <c r="N349" s="123"/>
      <c r="O349" s="122"/>
      <c r="P349" s="124"/>
      <c r="Q349" s="122"/>
      <c r="R349" s="122"/>
      <c r="S349" s="122"/>
      <c r="T349" s="122"/>
      <c r="U349" s="122"/>
      <c r="V349" s="124"/>
      <c r="W349" s="125"/>
      <c r="X349" s="122"/>
      <c r="Y349" s="122"/>
      <c r="Z349" s="122"/>
      <c r="AA349" s="126"/>
      <c r="AB349" s="122"/>
      <c r="AC349" s="122"/>
      <c r="AD349" s="127"/>
      <c r="AE349" s="127"/>
      <c r="AF349" s="127"/>
      <c r="AG349" s="127"/>
      <c r="AH349" s="124"/>
      <c r="AI349" s="127"/>
      <c r="AJ349" s="127"/>
      <c r="AK349" s="126"/>
      <c r="AL349" s="122"/>
      <c r="AM349" s="122"/>
      <c r="AN349" s="122"/>
      <c r="AO349" s="122"/>
      <c r="AP349" s="122"/>
      <c r="AQ349" s="124"/>
    </row>
    <row r="350" spans="1:43" ht="15.75" customHeight="1">
      <c r="A350" s="122"/>
      <c r="B350" s="122"/>
      <c r="C350" s="122"/>
      <c r="D350" s="122"/>
      <c r="E350" s="122"/>
      <c r="F350" s="122"/>
      <c r="G350" s="122"/>
      <c r="H350" s="122"/>
      <c r="I350" s="122"/>
      <c r="J350" s="122"/>
      <c r="K350" s="122"/>
      <c r="L350" s="122"/>
      <c r="M350" s="123"/>
      <c r="N350" s="123"/>
      <c r="O350" s="122"/>
      <c r="P350" s="124"/>
      <c r="Q350" s="122"/>
      <c r="R350" s="122"/>
      <c r="S350" s="122"/>
      <c r="T350" s="122"/>
      <c r="U350" s="122"/>
      <c r="V350" s="124"/>
      <c r="W350" s="125"/>
      <c r="X350" s="122"/>
      <c r="Y350" s="122"/>
      <c r="Z350" s="122"/>
      <c r="AA350" s="126"/>
      <c r="AB350" s="122"/>
      <c r="AC350" s="122"/>
      <c r="AD350" s="127"/>
      <c r="AE350" s="127"/>
      <c r="AF350" s="127"/>
      <c r="AG350" s="127"/>
      <c r="AH350" s="124"/>
      <c r="AI350" s="127"/>
      <c r="AJ350" s="127"/>
      <c r="AK350" s="126"/>
      <c r="AL350" s="122"/>
      <c r="AM350" s="122"/>
      <c r="AN350" s="122"/>
      <c r="AO350" s="122"/>
      <c r="AP350" s="122"/>
      <c r="AQ350" s="124"/>
    </row>
    <row r="351" spans="1:43" ht="15.75" customHeight="1">
      <c r="A351" s="122"/>
      <c r="B351" s="122"/>
      <c r="C351" s="122"/>
      <c r="D351" s="122"/>
      <c r="E351" s="122"/>
      <c r="F351" s="122"/>
      <c r="G351" s="122"/>
      <c r="H351" s="122"/>
      <c r="I351" s="122"/>
      <c r="J351" s="122"/>
      <c r="K351" s="122"/>
      <c r="L351" s="122"/>
      <c r="M351" s="123"/>
      <c r="N351" s="123"/>
      <c r="O351" s="122"/>
      <c r="P351" s="124"/>
      <c r="Q351" s="122"/>
      <c r="R351" s="122"/>
      <c r="S351" s="122"/>
      <c r="T351" s="122"/>
      <c r="U351" s="122"/>
      <c r="V351" s="124"/>
      <c r="W351" s="125"/>
      <c r="X351" s="122"/>
      <c r="Y351" s="122"/>
      <c r="Z351" s="122"/>
      <c r="AA351" s="126"/>
      <c r="AB351" s="122"/>
      <c r="AC351" s="122"/>
      <c r="AD351" s="127"/>
      <c r="AE351" s="127"/>
      <c r="AF351" s="127"/>
      <c r="AG351" s="127"/>
      <c r="AH351" s="124"/>
      <c r="AI351" s="127"/>
      <c r="AJ351" s="127"/>
      <c r="AK351" s="126"/>
      <c r="AL351" s="122"/>
      <c r="AM351" s="122"/>
      <c r="AN351" s="122"/>
      <c r="AO351" s="122"/>
      <c r="AP351" s="122"/>
      <c r="AQ351" s="124"/>
    </row>
    <row r="352" spans="1:43" ht="15.75" customHeight="1">
      <c r="A352" s="122"/>
      <c r="B352" s="122"/>
      <c r="C352" s="122"/>
      <c r="D352" s="122"/>
      <c r="E352" s="122"/>
      <c r="F352" s="122"/>
      <c r="G352" s="122"/>
      <c r="H352" s="122"/>
      <c r="I352" s="122"/>
      <c r="J352" s="122"/>
      <c r="K352" s="122"/>
      <c r="L352" s="122"/>
      <c r="M352" s="123"/>
      <c r="N352" s="123"/>
      <c r="O352" s="122"/>
      <c r="P352" s="124"/>
      <c r="Q352" s="122"/>
      <c r="R352" s="122"/>
      <c r="S352" s="122"/>
      <c r="T352" s="122"/>
      <c r="U352" s="122"/>
      <c r="V352" s="124"/>
      <c r="W352" s="125"/>
      <c r="X352" s="122"/>
      <c r="Y352" s="122"/>
      <c r="Z352" s="122"/>
      <c r="AA352" s="126"/>
      <c r="AB352" s="122"/>
      <c r="AC352" s="122"/>
      <c r="AD352" s="127"/>
      <c r="AE352" s="127"/>
      <c r="AF352" s="127"/>
      <c r="AG352" s="127"/>
      <c r="AH352" s="124"/>
      <c r="AI352" s="127"/>
      <c r="AJ352" s="127"/>
      <c r="AK352" s="126"/>
      <c r="AL352" s="122"/>
      <c r="AM352" s="122"/>
      <c r="AN352" s="122"/>
      <c r="AO352" s="122"/>
      <c r="AP352" s="122"/>
      <c r="AQ352" s="124"/>
    </row>
    <row r="353" spans="1:43" ht="15.75" customHeight="1">
      <c r="A353" s="122"/>
      <c r="B353" s="122"/>
      <c r="C353" s="122"/>
      <c r="D353" s="122"/>
      <c r="E353" s="122"/>
      <c r="F353" s="122"/>
      <c r="G353" s="122"/>
      <c r="H353" s="122"/>
      <c r="I353" s="122"/>
      <c r="J353" s="122"/>
      <c r="K353" s="122"/>
      <c r="L353" s="122"/>
      <c r="M353" s="123"/>
      <c r="N353" s="123"/>
      <c r="O353" s="122"/>
      <c r="P353" s="124"/>
      <c r="Q353" s="122"/>
      <c r="R353" s="122"/>
      <c r="S353" s="122"/>
      <c r="T353" s="122"/>
      <c r="U353" s="122"/>
      <c r="V353" s="124"/>
      <c r="W353" s="125"/>
      <c r="X353" s="122"/>
      <c r="Y353" s="122"/>
      <c r="Z353" s="122"/>
      <c r="AA353" s="126"/>
      <c r="AB353" s="122"/>
      <c r="AC353" s="122"/>
      <c r="AD353" s="127"/>
      <c r="AE353" s="127"/>
      <c r="AF353" s="127"/>
      <c r="AG353" s="127"/>
      <c r="AH353" s="124"/>
      <c r="AI353" s="127"/>
      <c r="AJ353" s="127"/>
      <c r="AK353" s="126"/>
      <c r="AL353" s="122"/>
      <c r="AM353" s="122"/>
      <c r="AN353" s="122"/>
      <c r="AO353" s="122"/>
      <c r="AP353" s="122"/>
      <c r="AQ353" s="124"/>
    </row>
    <row r="354" spans="1:43" ht="15.75" customHeight="1">
      <c r="A354" s="122"/>
      <c r="B354" s="122"/>
      <c r="C354" s="122"/>
      <c r="D354" s="122"/>
      <c r="E354" s="122"/>
      <c r="F354" s="122"/>
      <c r="G354" s="122"/>
      <c r="H354" s="122"/>
      <c r="I354" s="122"/>
      <c r="J354" s="122"/>
      <c r="K354" s="122"/>
      <c r="L354" s="122"/>
      <c r="M354" s="123"/>
      <c r="N354" s="123"/>
      <c r="O354" s="122"/>
      <c r="P354" s="124"/>
      <c r="Q354" s="122"/>
      <c r="R354" s="122"/>
      <c r="S354" s="122"/>
      <c r="T354" s="122"/>
      <c r="U354" s="122"/>
      <c r="V354" s="124"/>
      <c r="W354" s="125"/>
      <c r="X354" s="122"/>
      <c r="Y354" s="122"/>
      <c r="Z354" s="122"/>
      <c r="AA354" s="126"/>
      <c r="AB354" s="122"/>
      <c r="AC354" s="122"/>
      <c r="AD354" s="127"/>
      <c r="AE354" s="127"/>
      <c r="AF354" s="127"/>
      <c r="AG354" s="127"/>
      <c r="AH354" s="124"/>
      <c r="AI354" s="127"/>
      <c r="AJ354" s="127"/>
      <c r="AK354" s="126"/>
      <c r="AL354" s="122"/>
      <c r="AM354" s="122"/>
      <c r="AN354" s="122"/>
      <c r="AO354" s="122"/>
      <c r="AP354" s="122"/>
      <c r="AQ354" s="124"/>
    </row>
    <row r="355" spans="1:43" ht="15.75" customHeight="1">
      <c r="A355" s="122"/>
      <c r="B355" s="122"/>
      <c r="C355" s="122"/>
      <c r="D355" s="122"/>
      <c r="E355" s="122"/>
      <c r="F355" s="122"/>
      <c r="G355" s="122"/>
      <c r="H355" s="122"/>
      <c r="I355" s="122"/>
      <c r="J355" s="122"/>
      <c r="K355" s="122"/>
      <c r="L355" s="122"/>
      <c r="M355" s="123"/>
      <c r="N355" s="123"/>
      <c r="O355" s="122"/>
      <c r="P355" s="124"/>
      <c r="Q355" s="122"/>
      <c r="R355" s="122"/>
      <c r="S355" s="122"/>
      <c r="T355" s="122"/>
      <c r="U355" s="122"/>
      <c r="V355" s="124"/>
      <c r="W355" s="125"/>
      <c r="X355" s="122"/>
      <c r="Y355" s="122"/>
      <c r="Z355" s="122"/>
      <c r="AA355" s="126"/>
      <c r="AB355" s="122"/>
      <c r="AC355" s="122"/>
      <c r="AD355" s="127"/>
      <c r="AE355" s="127"/>
      <c r="AF355" s="127"/>
      <c r="AG355" s="127"/>
      <c r="AH355" s="124"/>
      <c r="AI355" s="127"/>
      <c r="AJ355" s="127"/>
      <c r="AK355" s="126"/>
      <c r="AL355" s="122"/>
      <c r="AM355" s="122"/>
      <c r="AN355" s="122"/>
      <c r="AO355" s="122"/>
      <c r="AP355" s="122"/>
      <c r="AQ355" s="124"/>
    </row>
    <row r="356" spans="1:43" ht="15.75" customHeight="1">
      <c r="A356" s="122"/>
      <c r="B356" s="122"/>
      <c r="C356" s="122"/>
      <c r="D356" s="122"/>
      <c r="E356" s="122"/>
      <c r="F356" s="122"/>
      <c r="G356" s="122"/>
      <c r="H356" s="122"/>
      <c r="I356" s="122"/>
      <c r="J356" s="122"/>
      <c r="K356" s="122"/>
      <c r="L356" s="122"/>
      <c r="M356" s="123"/>
      <c r="N356" s="123"/>
      <c r="O356" s="122"/>
      <c r="P356" s="124"/>
      <c r="Q356" s="122"/>
      <c r="R356" s="122"/>
      <c r="S356" s="122"/>
      <c r="T356" s="122"/>
      <c r="U356" s="122"/>
      <c r="V356" s="124"/>
      <c r="W356" s="125"/>
      <c r="X356" s="122"/>
      <c r="Y356" s="122"/>
      <c r="Z356" s="122"/>
      <c r="AA356" s="126"/>
      <c r="AB356" s="122"/>
      <c r="AC356" s="122"/>
      <c r="AD356" s="127"/>
      <c r="AE356" s="127"/>
      <c r="AF356" s="127"/>
      <c r="AG356" s="127"/>
      <c r="AH356" s="124"/>
      <c r="AI356" s="127"/>
      <c r="AJ356" s="127"/>
      <c r="AK356" s="126"/>
      <c r="AL356" s="122"/>
      <c r="AM356" s="122"/>
      <c r="AN356" s="122"/>
      <c r="AO356" s="122"/>
      <c r="AP356" s="122"/>
      <c r="AQ356" s="124"/>
    </row>
    <row r="357" spans="1:43" ht="15.75" customHeight="1">
      <c r="A357" s="122"/>
      <c r="B357" s="122"/>
      <c r="C357" s="122"/>
      <c r="D357" s="122"/>
      <c r="E357" s="122"/>
      <c r="F357" s="122"/>
      <c r="G357" s="122"/>
      <c r="H357" s="122"/>
      <c r="I357" s="122"/>
      <c r="J357" s="122"/>
      <c r="K357" s="122"/>
      <c r="L357" s="122"/>
      <c r="M357" s="123"/>
      <c r="N357" s="123"/>
      <c r="O357" s="122"/>
      <c r="P357" s="124"/>
      <c r="Q357" s="122"/>
      <c r="R357" s="122"/>
      <c r="S357" s="122"/>
      <c r="T357" s="122"/>
      <c r="U357" s="122"/>
      <c r="V357" s="124"/>
      <c r="W357" s="125"/>
      <c r="X357" s="122"/>
      <c r="Y357" s="122"/>
      <c r="Z357" s="122"/>
      <c r="AA357" s="126"/>
      <c r="AB357" s="122"/>
      <c r="AC357" s="122"/>
      <c r="AD357" s="127"/>
      <c r="AE357" s="127"/>
      <c r="AF357" s="127"/>
      <c r="AG357" s="127"/>
      <c r="AH357" s="124"/>
      <c r="AI357" s="127"/>
      <c r="AJ357" s="127"/>
      <c r="AK357" s="126"/>
      <c r="AL357" s="122"/>
      <c r="AM357" s="122"/>
      <c r="AN357" s="122"/>
      <c r="AO357" s="122"/>
      <c r="AP357" s="122"/>
      <c r="AQ357" s="124"/>
    </row>
    <row r="358" spans="1:43" ht="15.75" customHeight="1">
      <c r="A358" s="122"/>
      <c r="B358" s="122"/>
      <c r="C358" s="122"/>
      <c r="D358" s="122"/>
      <c r="E358" s="122"/>
      <c r="F358" s="122"/>
      <c r="G358" s="122"/>
      <c r="H358" s="122"/>
      <c r="I358" s="122"/>
      <c r="J358" s="122"/>
      <c r="K358" s="122"/>
      <c r="L358" s="122"/>
      <c r="M358" s="123"/>
      <c r="N358" s="123"/>
      <c r="O358" s="122"/>
      <c r="P358" s="124"/>
      <c r="Q358" s="122"/>
      <c r="R358" s="122"/>
      <c r="S358" s="122"/>
      <c r="T358" s="122"/>
      <c r="U358" s="122"/>
      <c r="V358" s="124"/>
      <c r="W358" s="125"/>
      <c r="X358" s="122"/>
      <c r="Y358" s="122"/>
      <c r="Z358" s="122"/>
      <c r="AA358" s="126"/>
      <c r="AB358" s="122"/>
      <c r="AC358" s="122"/>
      <c r="AD358" s="127"/>
      <c r="AE358" s="127"/>
      <c r="AF358" s="127"/>
      <c r="AG358" s="127"/>
      <c r="AH358" s="124"/>
      <c r="AI358" s="127"/>
      <c r="AJ358" s="127"/>
      <c r="AK358" s="126"/>
      <c r="AL358" s="122"/>
      <c r="AM358" s="122"/>
      <c r="AN358" s="122"/>
      <c r="AO358" s="122"/>
      <c r="AP358" s="122"/>
      <c r="AQ358" s="124"/>
    </row>
    <row r="359" spans="1:43" ht="15.75" customHeight="1">
      <c r="A359" s="122"/>
      <c r="B359" s="122"/>
      <c r="C359" s="122"/>
      <c r="D359" s="122"/>
      <c r="E359" s="122"/>
      <c r="F359" s="122"/>
      <c r="G359" s="122"/>
      <c r="H359" s="122"/>
      <c r="I359" s="122"/>
      <c r="J359" s="122"/>
      <c r="K359" s="122"/>
      <c r="L359" s="122"/>
      <c r="M359" s="123"/>
      <c r="N359" s="123"/>
      <c r="O359" s="122"/>
      <c r="P359" s="124"/>
      <c r="Q359" s="122"/>
      <c r="R359" s="122"/>
      <c r="S359" s="122"/>
      <c r="T359" s="122"/>
      <c r="U359" s="122"/>
      <c r="V359" s="124"/>
      <c r="W359" s="125"/>
      <c r="X359" s="122"/>
      <c r="Y359" s="122"/>
      <c r="Z359" s="122"/>
      <c r="AA359" s="126"/>
      <c r="AB359" s="122"/>
      <c r="AC359" s="122"/>
      <c r="AD359" s="127"/>
      <c r="AE359" s="127"/>
      <c r="AF359" s="127"/>
      <c r="AG359" s="127"/>
      <c r="AH359" s="124"/>
      <c r="AI359" s="127"/>
      <c r="AJ359" s="127"/>
      <c r="AK359" s="126"/>
      <c r="AL359" s="122"/>
      <c r="AM359" s="122"/>
      <c r="AN359" s="122"/>
      <c r="AO359" s="122"/>
      <c r="AP359" s="122"/>
      <c r="AQ359" s="124"/>
    </row>
    <row r="360" spans="1:43" ht="15.75" customHeight="1">
      <c r="A360" s="122"/>
      <c r="B360" s="122"/>
      <c r="C360" s="122"/>
      <c r="D360" s="122"/>
      <c r="E360" s="122"/>
      <c r="F360" s="122"/>
      <c r="G360" s="122"/>
      <c r="H360" s="122"/>
      <c r="I360" s="122"/>
      <c r="J360" s="122"/>
      <c r="K360" s="122"/>
      <c r="L360" s="122"/>
      <c r="M360" s="123"/>
      <c r="N360" s="123"/>
      <c r="O360" s="122"/>
      <c r="P360" s="124"/>
      <c r="Q360" s="122"/>
      <c r="R360" s="122"/>
      <c r="S360" s="122"/>
      <c r="T360" s="122"/>
      <c r="U360" s="122"/>
      <c r="V360" s="124"/>
      <c r="W360" s="125"/>
      <c r="X360" s="122"/>
      <c r="Y360" s="122"/>
      <c r="Z360" s="122"/>
      <c r="AA360" s="126"/>
      <c r="AB360" s="122"/>
      <c r="AC360" s="122"/>
      <c r="AD360" s="127"/>
      <c r="AE360" s="127"/>
      <c r="AF360" s="127"/>
      <c r="AG360" s="127"/>
      <c r="AH360" s="124"/>
      <c r="AI360" s="127"/>
      <c r="AJ360" s="127"/>
      <c r="AK360" s="126"/>
      <c r="AL360" s="122"/>
      <c r="AM360" s="122"/>
      <c r="AN360" s="122"/>
      <c r="AO360" s="122"/>
      <c r="AP360" s="122"/>
      <c r="AQ360" s="124"/>
    </row>
    <row r="361" spans="1:43" ht="15.75" customHeight="1">
      <c r="A361" s="122"/>
      <c r="B361" s="122"/>
      <c r="C361" s="122"/>
      <c r="D361" s="122"/>
      <c r="E361" s="122"/>
      <c r="F361" s="122"/>
      <c r="G361" s="122"/>
      <c r="H361" s="122"/>
      <c r="I361" s="122"/>
      <c r="J361" s="122"/>
      <c r="K361" s="122"/>
      <c r="L361" s="122"/>
      <c r="M361" s="123"/>
      <c r="N361" s="123"/>
      <c r="O361" s="122"/>
      <c r="P361" s="124"/>
      <c r="Q361" s="122"/>
      <c r="R361" s="122"/>
      <c r="S361" s="122"/>
      <c r="T361" s="122"/>
      <c r="U361" s="122"/>
      <c r="V361" s="124"/>
      <c r="W361" s="125"/>
      <c r="X361" s="122"/>
      <c r="Y361" s="122"/>
      <c r="Z361" s="122"/>
      <c r="AA361" s="126"/>
      <c r="AB361" s="122"/>
      <c r="AC361" s="122"/>
      <c r="AD361" s="127"/>
      <c r="AE361" s="127"/>
      <c r="AF361" s="127"/>
      <c r="AG361" s="127"/>
      <c r="AH361" s="124"/>
      <c r="AI361" s="127"/>
      <c r="AJ361" s="127"/>
      <c r="AK361" s="126"/>
      <c r="AL361" s="122"/>
      <c r="AM361" s="122"/>
      <c r="AN361" s="122"/>
      <c r="AO361" s="122"/>
      <c r="AP361" s="122"/>
      <c r="AQ361" s="124"/>
    </row>
    <row r="362" spans="1:43" ht="15.75" customHeight="1">
      <c r="A362" s="122"/>
      <c r="B362" s="122"/>
      <c r="C362" s="122"/>
      <c r="D362" s="122"/>
      <c r="E362" s="122"/>
      <c r="F362" s="122"/>
      <c r="G362" s="122"/>
      <c r="H362" s="122"/>
      <c r="I362" s="122"/>
      <c r="J362" s="122"/>
      <c r="K362" s="122"/>
      <c r="L362" s="122"/>
      <c r="M362" s="123"/>
      <c r="N362" s="123"/>
      <c r="O362" s="122"/>
      <c r="P362" s="124"/>
      <c r="Q362" s="122"/>
      <c r="R362" s="122"/>
      <c r="S362" s="122"/>
      <c r="T362" s="122"/>
      <c r="U362" s="122"/>
      <c r="V362" s="124"/>
      <c r="W362" s="125"/>
      <c r="X362" s="122"/>
      <c r="Y362" s="122"/>
      <c r="Z362" s="122"/>
      <c r="AA362" s="126"/>
      <c r="AB362" s="122"/>
      <c r="AC362" s="122"/>
      <c r="AD362" s="127"/>
      <c r="AE362" s="127"/>
      <c r="AF362" s="127"/>
      <c r="AG362" s="127"/>
      <c r="AH362" s="124"/>
      <c r="AI362" s="127"/>
      <c r="AJ362" s="127"/>
      <c r="AK362" s="126"/>
      <c r="AL362" s="122"/>
      <c r="AM362" s="122"/>
      <c r="AN362" s="122"/>
      <c r="AO362" s="122"/>
      <c r="AP362" s="122"/>
      <c r="AQ362" s="124"/>
    </row>
    <row r="363" spans="1:43" ht="15.75" customHeight="1">
      <c r="A363" s="122"/>
      <c r="B363" s="122"/>
      <c r="C363" s="122"/>
      <c r="D363" s="122"/>
      <c r="E363" s="122"/>
      <c r="F363" s="122"/>
      <c r="G363" s="122"/>
      <c r="H363" s="122"/>
      <c r="I363" s="122"/>
      <c r="J363" s="122"/>
      <c r="K363" s="122"/>
      <c r="L363" s="122"/>
      <c r="M363" s="123"/>
      <c r="N363" s="123"/>
      <c r="O363" s="122"/>
      <c r="P363" s="124"/>
      <c r="Q363" s="122"/>
      <c r="R363" s="122"/>
      <c r="S363" s="122"/>
      <c r="T363" s="122"/>
      <c r="U363" s="122"/>
      <c r="V363" s="124"/>
      <c r="W363" s="125"/>
      <c r="X363" s="122"/>
      <c r="Y363" s="122"/>
      <c r="Z363" s="122"/>
      <c r="AA363" s="126"/>
      <c r="AB363" s="122"/>
      <c r="AC363" s="122"/>
      <c r="AD363" s="127"/>
      <c r="AE363" s="127"/>
      <c r="AF363" s="127"/>
      <c r="AG363" s="127"/>
      <c r="AH363" s="124"/>
      <c r="AI363" s="127"/>
      <c r="AJ363" s="127"/>
      <c r="AK363" s="126"/>
      <c r="AL363" s="122"/>
      <c r="AM363" s="122"/>
      <c r="AN363" s="122"/>
      <c r="AO363" s="122"/>
      <c r="AP363" s="122"/>
      <c r="AQ363" s="124"/>
    </row>
    <row r="364" spans="1:43" ht="15.75" customHeight="1">
      <c r="A364" s="122"/>
      <c r="B364" s="122"/>
      <c r="C364" s="122"/>
      <c r="D364" s="122"/>
      <c r="E364" s="122"/>
      <c r="F364" s="122"/>
      <c r="G364" s="122"/>
      <c r="H364" s="122"/>
      <c r="I364" s="122"/>
      <c r="J364" s="122"/>
      <c r="K364" s="122"/>
      <c r="L364" s="122"/>
      <c r="M364" s="123"/>
      <c r="N364" s="123"/>
      <c r="O364" s="122"/>
      <c r="P364" s="124"/>
      <c r="Q364" s="122"/>
      <c r="R364" s="122"/>
      <c r="S364" s="122"/>
      <c r="T364" s="122"/>
      <c r="U364" s="122"/>
      <c r="V364" s="124"/>
      <c r="W364" s="125"/>
      <c r="X364" s="122"/>
      <c r="Y364" s="122"/>
      <c r="Z364" s="122"/>
      <c r="AA364" s="126"/>
      <c r="AB364" s="122"/>
      <c r="AC364" s="122"/>
      <c r="AD364" s="127"/>
      <c r="AE364" s="127"/>
      <c r="AF364" s="127"/>
      <c r="AG364" s="127"/>
      <c r="AH364" s="124"/>
      <c r="AI364" s="127"/>
      <c r="AJ364" s="127"/>
      <c r="AK364" s="126"/>
      <c r="AL364" s="122"/>
      <c r="AM364" s="122"/>
      <c r="AN364" s="122"/>
      <c r="AO364" s="122"/>
      <c r="AP364" s="122"/>
      <c r="AQ364" s="124"/>
    </row>
    <row r="365" spans="1:43" ht="15.75" customHeight="1">
      <c r="A365" s="122"/>
      <c r="B365" s="122"/>
      <c r="C365" s="122"/>
      <c r="D365" s="122"/>
      <c r="E365" s="122"/>
      <c r="F365" s="122"/>
      <c r="G365" s="122"/>
      <c r="H365" s="122"/>
      <c r="I365" s="122"/>
      <c r="J365" s="122"/>
      <c r="K365" s="122"/>
      <c r="L365" s="122"/>
      <c r="M365" s="123"/>
      <c r="N365" s="123"/>
      <c r="O365" s="122"/>
      <c r="P365" s="124"/>
      <c r="Q365" s="122"/>
      <c r="R365" s="122"/>
      <c r="S365" s="122"/>
      <c r="T365" s="122"/>
      <c r="U365" s="122"/>
      <c r="V365" s="124"/>
      <c r="W365" s="125"/>
      <c r="X365" s="122"/>
      <c r="Y365" s="122"/>
      <c r="Z365" s="122"/>
      <c r="AA365" s="126"/>
      <c r="AB365" s="122"/>
      <c r="AC365" s="122"/>
      <c r="AD365" s="127"/>
      <c r="AE365" s="127"/>
      <c r="AF365" s="127"/>
      <c r="AG365" s="127"/>
      <c r="AH365" s="124"/>
      <c r="AI365" s="127"/>
      <c r="AJ365" s="127"/>
      <c r="AK365" s="126"/>
      <c r="AL365" s="122"/>
      <c r="AM365" s="122"/>
      <c r="AN365" s="122"/>
      <c r="AO365" s="122"/>
      <c r="AP365" s="122"/>
      <c r="AQ365" s="124"/>
    </row>
    <row r="366" spans="1:43" ht="15.75" customHeight="1">
      <c r="A366" s="122"/>
      <c r="B366" s="122"/>
      <c r="C366" s="122"/>
      <c r="D366" s="122"/>
      <c r="E366" s="122"/>
      <c r="F366" s="122"/>
      <c r="G366" s="122"/>
      <c r="H366" s="122"/>
      <c r="I366" s="122"/>
      <c r="J366" s="122"/>
      <c r="K366" s="122"/>
      <c r="L366" s="122"/>
      <c r="M366" s="123"/>
      <c r="N366" s="123"/>
      <c r="O366" s="122"/>
      <c r="P366" s="124"/>
      <c r="Q366" s="122"/>
      <c r="R366" s="122"/>
      <c r="S366" s="122"/>
      <c r="T366" s="122"/>
      <c r="U366" s="122"/>
      <c r="V366" s="124"/>
      <c r="W366" s="125"/>
      <c r="X366" s="122"/>
      <c r="Y366" s="122"/>
      <c r="Z366" s="122"/>
      <c r="AA366" s="126"/>
      <c r="AB366" s="122"/>
      <c r="AC366" s="122"/>
      <c r="AD366" s="127"/>
      <c r="AE366" s="127"/>
      <c r="AF366" s="127"/>
      <c r="AG366" s="127"/>
      <c r="AH366" s="124"/>
      <c r="AI366" s="127"/>
      <c r="AJ366" s="127"/>
      <c r="AK366" s="126"/>
      <c r="AL366" s="122"/>
      <c r="AM366" s="122"/>
      <c r="AN366" s="122"/>
      <c r="AO366" s="122"/>
      <c r="AP366" s="122"/>
      <c r="AQ366" s="124"/>
    </row>
    <row r="367" spans="1:43" ht="15.75" customHeight="1">
      <c r="A367" s="122"/>
      <c r="B367" s="122"/>
      <c r="C367" s="122"/>
      <c r="D367" s="122"/>
      <c r="E367" s="122"/>
      <c r="F367" s="122"/>
      <c r="G367" s="122"/>
      <c r="H367" s="122"/>
      <c r="I367" s="122"/>
      <c r="J367" s="122"/>
      <c r="K367" s="122"/>
      <c r="L367" s="122"/>
      <c r="M367" s="123"/>
      <c r="N367" s="123"/>
      <c r="O367" s="122"/>
      <c r="P367" s="124"/>
      <c r="Q367" s="122"/>
      <c r="R367" s="122"/>
      <c r="S367" s="122"/>
      <c r="T367" s="122"/>
      <c r="U367" s="122"/>
      <c r="V367" s="124"/>
      <c r="W367" s="125"/>
      <c r="X367" s="122"/>
      <c r="Y367" s="122"/>
      <c r="Z367" s="122"/>
      <c r="AA367" s="126"/>
      <c r="AB367" s="122"/>
      <c r="AC367" s="122"/>
      <c r="AD367" s="127"/>
      <c r="AE367" s="127"/>
      <c r="AF367" s="127"/>
      <c r="AG367" s="127"/>
      <c r="AH367" s="124"/>
      <c r="AI367" s="127"/>
      <c r="AJ367" s="127"/>
      <c r="AK367" s="126"/>
      <c r="AL367" s="122"/>
      <c r="AM367" s="122"/>
      <c r="AN367" s="122"/>
      <c r="AO367" s="122"/>
      <c r="AP367" s="122"/>
      <c r="AQ367" s="124"/>
    </row>
    <row r="368" spans="1:43" ht="15.75" customHeight="1">
      <c r="A368" s="122"/>
      <c r="B368" s="122"/>
      <c r="C368" s="122"/>
      <c r="D368" s="122"/>
      <c r="E368" s="122"/>
      <c r="F368" s="122"/>
      <c r="G368" s="122"/>
      <c r="H368" s="122"/>
      <c r="I368" s="122"/>
      <c r="J368" s="122"/>
      <c r="K368" s="122"/>
      <c r="L368" s="122"/>
      <c r="M368" s="123"/>
      <c r="N368" s="123"/>
      <c r="O368" s="122"/>
      <c r="P368" s="124"/>
      <c r="Q368" s="122"/>
      <c r="R368" s="122"/>
      <c r="S368" s="122"/>
      <c r="T368" s="122"/>
      <c r="U368" s="122"/>
      <c r="V368" s="124"/>
      <c r="W368" s="125"/>
      <c r="X368" s="122"/>
      <c r="Y368" s="122"/>
      <c r="Z368" s="122"/>
      <c r="AA368" s="126"/>
      <c r="AB368" s="122"/>
      <c r="AC368" s="122"/>
      <c r="AD368" s="127"/>
      <c r="AE368" s="127"/>
      <c r="AF368" s="127"/>
      <c r="AG368" s="127"/>
      <c r="AH368" s="124"/>
      <c r="AI368" s="127"/>
      <c r="AJ368" s="127"/>
      <c r="AK368" s="126"/>
      <c r="AL368" s="122"/>
      <c r="AM368" s="122"/>
      <c r="AN368" s="122"/>
      <c r="AO368" s="122"/>
      <c r="AP368" s="122"/>
      <c r="AQ368" s="124"/>
    </row>
    <row r="369" spans="1:43" ht="15.75" customHeight="1">
      <c r="A369" s="122"/>
      <c r="B369" s="122"/>
      <c r="C369" s="122"/>
      <c r="D369" s="122"/>
      <c r="E369" s="122"/>
      <c r="F369" s="122"/>
      <c r="G369" s="122"/>
      <c r="H369" s="122"/>
      <c r="I369" s="122"/>
      <c r="J369" s="122"/>
      <c r="K369" s="122"/>
      <c r="L369" s="122"/>
      <c r="M369" s="123"/>
      <c r="N369" s="123"/>
      <c r="O369" s="122"/>
      <c r="P369" s="124"/>
      <c r="Q369" s="122"/>
      <c r="R369" s="122"/>
      <c r="S369" s="122"/>
      <c r="T369" s="122"/>
      <c r="U369" s="122"/>
      <c r="V369" s="124"/>
      <c r="W369" s="125"/>
      <c r="X369" s="122"/>
      <c r="Y369" s="122"/>
      <c r="Z369" s="122"/>
      <c r="AA369" s="126"/>
      <c r="AB369" s="122"/>
      <c r="AC369" s="122"/>
      <c r="AD369" s="127"/>
      <c r="AE369" s="127"/>
      <c r="AF369" s="127"/>
      <c r="AG369" s="127"/>
      <c r="AH369" s="124"/>
      <c r="AI369" s="127"/>
      <c r="AJ369" s="127"/>
      <c r="AK369" s="126"/>
      <c r="AL369" s="122"/>
      <c r="AM369" s="122"/>
      <c r="AN369" s="122"/>
      <c r="AO369" s="122"/>
      <c r="AP369" s="122"/>
      <c r="AQ369" s="124"/>
    </row>
    <row r="370" spans="1:43" ht="15.75" customHeight="1">
      <c r="A370" s="122"/>
      <c r="B370" s="122"/>
      <c r="C370" s="122"/>
      <c r="D370" s="122"/>
      <c r="E370" s="122"/>
      <c r="F370" s="122"/>
      <c r="G370" s="122"/>
      <c r="H370" s="122"/>
      <c r="I370" s="122"/>
      <c r="J370" s="122"/>
      <c r="K370" s="122"/>
      <c r="L370" s="122"/>
      <c r="M370" s="123"/>
      <c r="N370" s="123"/>
      <c r="O370" s="122"/>
      <c r="P370" s="124"/>
      <c r="Q370" s="122"/>
      <c r="R370" s="122"/>
      <c r="S370" s="122"/>
      <c r="T370" s="122"/>
      <c r="U370" s="122"/>
      <c r="V370" s="124"/>
      <c r="W370" s="125"/>
      <c r="X370" s="122"/>
      <c r="Y370" s="122"/>
      <c r="Z370" s="122"/>
      <c r="AA370" s="126"/>
      <c r="AB370" s="122"/>
      <c r="AC370" s="122"/>
      <c r="AD370" s="127"/>
      <c r="AE370" s="127"/>
      <c r="AF370" s="127"/>
      <c r="AG370" s="127"/>
      <c r="AH370" s="124"/>
      <c r="AI370" s="127"/>
      <c r="AJ370" s="127"/>
      <c r="AK370" s="126"/>
      <c r="AL370" s="122"/>
      <c r="AM370" s="122"/>
      <c r="AN370" s="122"/>
      <c r="AO370" s="122"/>
      <c r="AP370" s="122"/>
      <c r="AQ370" s="124"/>
    </row>
    <row r="371" spans="1:43" ht="15.75" customHeight="1">
      <c r="A371" s="122"/>
      <c r="B371" s="122"/>
      <c r="C371" s="122"/>
      <c r="D371" s="122"/>
      <c r="E371" s="122"/>
      <c r="F371" s="122"/>
      <c r="G371" s="122"/>
      <c r="H371" s="122"/>
      <c r="I371" s="122"/>
      <c r="J371" s="122"/>
      <c r="K371" s="122"/>
      <c r="L371" s="122"/>
      <c r="M371" s="123"/>
      <c r="N371" s="123"/>
      <c r="O371" s="122"/>
      <c r="P371" s="124"/>
      <c r="Q371" s="122"/>
      <c r="R371" s="122"/>
      <c r="S371" s="122"/>
      <c r="T371" s="122"/>
      <c r="U371" s="122"/>
      <c r="V371" s="124"/>
      <c r="W371" s="125"/>
      <c r="X371" s="122"/>
      <c r="Y371" s="122"/>
      <c r="Z371" s="122"/>
      <c r="AA371" s="126"/>
      <c r="AB371" s="122"/>
      <c r="AC371" s="122"/>
      <c r="AD371" s="127"/>
      <c r="AE371" s="127"/>
      <c r="AF371" s="127"/>
      <c r="AG371" s="127"/>
      <c r="AH371" s="124"/>
      <c r="AI371" s="127"/>
      <c r="AJ371" s="127"/>
      <c r="AK371" s="126"/>
      <c r="AL371" s="122"/>
      <c r="AM371" s="122"/>
      <c r="AN371" s="122"/>
      <c r="AO371" s="122"/>
      <c r="AP371" s="122"/>
      <c r="AQ371" s="124"/>
    </row>
    <row r="372" spans="1:43" ht="15.75" customHeight="1">
      <c r="A372" s="122"/>
      <c r="B372" s="122"/>
      <c r="C372" s="122"/>
      <c r="D372" s="122"/>
      <c r="E372" s="122"/>
      <c r="F372" s="122"/>
      <c r="G372" s="122"/>
      <c r="H372" s="122"/>
      <c r="I372" s="122"/>
      <c r="J372" s="122"/>
      <c r="K372" s="122"/>
      <c r="L372" s="122"/>
      <c r="M372" s="123"/>
      <c r="N372" s="123"/>
      <c r="O372" s="122"/>
      <c r="P372" s="124"/>
      <c r="Q372" s="122"/>
      <c r="R372" s="122"/>
      <c r="S372" s="122"/>
      <c r="T372" s="122"/>
      <c r="U372" s="122"/>
      <c r="V372" s="124"/>
      <c r="W372" s="125"/>
      <c r="X372" s="122"/>
      <c r="Y372" s="122"/>
      <c r="Z372" s="122"/>
      <c r="AA372" s="126"/>
      <c r="AB372" s="122"/>
      <c r="AC372" s="122"/>
      <c r="AD372" s="127"/>
      <c r="AE372" s="127"/>
      <c r="AF372" s="127"/>
      <c r="AG372" s="127"/>
      <c r="AH372" s="124"/>
      <c r="AI372" s="127"/>
      <c r="AJ372" s="127"/>
      <c r="AK372" s="126"/>
      <c r="AL372" s="122"/>
      <c r="AM372" s="122"/>
      <c r="AN372" s="122"/>
      <c r="AO372" s="122"/>
      <c r="AP372" s="122"/>
      <c r="AQ372" s="124"/>
    </row>
    <row r="373" spans="1:43" ht="15.75" customHeight="1">
      <c r="A373" s="122"/>
      <c r="B373" s="122"/>
      <c r="C373" s="122"/>
      <c r="D373" s="122"/>
      <c r="E373" s="122"/>
      <c r="F373" s="122"/>
      <c r="G373" s="122"/>
      <c r="H373" s="122"/>
      <c r="I373" s="122"/>
      <c r="J373" s="122"/>
      <c r="K373" s="122"/>
      <c r="L373" s="122"/>
      <c r="M373" s="123"/>
      <c r="N373" s="123"/>
      <c r="O373" s="122"/>
      <c r="P373" s="124"/>
      <c r="Q373" s="122"/>
      <c r="R373" s="122"/>
      <c r="S373" s="122"/>
      <c r="T373" s="122"/>
      <c r="U373" s="122"/>
      <c r="V373" s="124"/>
      <c r="W373" s="125"/>
      <c r="X373" s="122"/>
      <c r="Y373" s="122"/>
      <c r="Z373" s="122"/>
      <c r="AA373" s="126"/>
      <c r="AB373" s="122"/>
      <c r="AC373" s="122"/>
      <c r="AD373" s="127"/>
      <c r="AE373" s="127"/>
      <c r="AF373" s="127"/>
      <c r="AG373" s="127"/>
      <c r="AH373" s="124"/>
      <c r="AI373" s="127"/>
      <c r="AJ373" s="127"/>
      <c r="AK373" s="126"/>
      <c r="AL373" s="122"/>
      <c r="AM373" s="122"/>
      <c r="AN373" s="122"/>
      <c r="AO373" s="122"/>
      <c r="AP373" s="122"/>
      <c r="AQ373" s="124"/>
    </row>
    <row r="374" spans="1:43" ht="15.75" customHeight="1">
      <c r="A374" s="122"/>
      <c r="B374" s="122"/>
      <c r="C374" s="122"/>
      <c r="D374" s="122"/>
      <c r="E374" s="122"/>
      <c r="F374" s="122"/>
      <c r="G374" s="122"/>
      <c r="H374" s="122"/>
      <c r="I374" s="122"/>
      <c r="J374" s="122"/>
      <c r="K374" s="122"/>
      <c r="L374" s="122"/>
      <c r="M374" s="123"/>
      <c r="N374" s="123"/>
      <c r="O374" s="122"/>
      <c r="P374" s="124"/>
      <c r="Q374" s="122"/>
      <c r="R374" s="122"/>
      <c r="S374" s="122"/>
      <c r="T374" s="122"/>
      <c r="U374" s="122"/>
      <c r="V374" s="124"/>
      <c r="W374" s="125"/>
      <c r="X374" s="122"/>
      <c r="Y374" s="122"/>
      <c r="Z374" s="122"/>
      <c r="AA374" s="126"/>
      <c r="AB374" s="122"/>
      <c r="AC374" s="122"/>
      <c r="AD374" s="127"/>
      <c r="AE374" s="127"/>
      <c r="AF374" s="127"/>
      <c r="AG374" s="127"/>
      <c r="AH374" s="124"/>
      <c r="AI374" s="127"/>
      <c r="AJ374" s="127"/>
      <c r="AK374" s="126"/>
      <c r="AL374" s="122"/>
      <c r="AM374" s="122"/>
      <c r="AN374" s="122"/>
      <c r="AO374" s="122"/>
      <c r="AP374" s="122"/>
      <c r="AQ374" s="124"/>
    </row>
    <row r="375" spans="1:43" ht="15.75" customHeight="1">
      <c r="A375" s="122"/>
      <c r="B375" s="122"/>
      <c r="C375" s="122"/>
      <c r="D375" s="122"/>
      <c r="E375" s="122"/>
      <c r="F375" s="122"/>
      <c r="G375" s="122"/>
      <c r="H375" s="122"/>
      <c r="I375" s="122"/>
      <c r="J375" s="122"/>
      <c r="K375" s="122"/>
      <c r="L375" s="122"/>
      <c r="M375" s="123"/>
      <c r="N375" s="123"/>
      <c r="O375" s="122"/>
      <c r="P375" s="124"/>
      <c r="Q375" s="122"/>
      <c r="R375" s="122"/>
      <c r="S375" s="122"/>
      <c r="T375" s="122"/>
      <c r="U375" s="122"/>
      <c r="V375" s="124"/>
      <c r="W375" s="125"/>
      <c r="X375" s="122"/>
      <c r="Y375" s="122"/>
      <c r="Z375" s="122"/>
      <c r="AA375" s="126"/>
      <c r="AB375" s="122"/>
      <c r="AC375" s="122"/>
      <c r="AD375" s="127"/>
      <c r="AE375" s="127"/>
      <c r="AF375" s="127"/>
      <c r="AG375" s="127"/>
      <c r="AH375" s="124"/>
      <c r="AI375" s="127"/>
      <c r="AJ375" s="127"/>
      <c r="AK375" s="126"/>
      <c r="AL375" s="122"/>
      <c r="AM375" s="122"/>
      <c r="AN375" s="122"/>
      <c r="AO375" s="122"/>
      <c r="AP375" s="122"/>
      <c r="AQ375" s="124"/>
    </row>
    <row r="376" spans="1:43" ht="15.75" customHeight="1">
      <c r="A376" s="122"/>
      <c r="B376" s="122"/>
      <c r="C376" s="122"/>
      <c r="D376" s="122"/>
      <c r="E376" s="122"/>
      <c r="F376" s="122"/>
      <c r="G376" s="122"/>
      <c r="H376" s="122"/>
      <c r="I376" s="122"/>
      <c r="J376" s="122"/>
      <c r="K376" s="122"/>
      <c r="L376" s="122"/>
      <c r="M376" s="123"/>
      <c r="N376" s="123"/>
      <c r="O376" s="122"/>
      <c r="P376" s="124"/>
      <c r="Q376" s="122"/>
      <c r="R376" s="122"/>
      <c r="S376" s="122"/>
      <c r="T376" s="122"/>
      <c r="U376" s="122"/>
      <c r="V376" s="124"/>
      <c r="W376" s="125"/>
      <c r="X376" s="122"/>
      <c r="Y376" s="122"/>
      <c r="Z376" s="122"/>
      <c r="AA376" s="126"/>
      <c r="AB376" s="122"/>
      <c r="AC376" s="122"/>
      <c r="AD376" s="127"/>
      <c r="AE376" s="127"/>
      <c r="AF376" s="127"/>
      <c r="AG376" s="127"/>
      <c r="AH376" s="124"/>
      <c r="AI376" s="127"/>
      <c r="AJ376" s="127"/>
      <c r="AK376" s="126"/>
      <c r="AL376" s="122"/>
      <c r="AM376" s="122"/>
      <c r="AN376" s="122"/>
      <c r="AO376" s="122"/>
      <c r="AP376" s="122"/>
      <c r="AQ376" s="124"/>
    </row>
    <row r="377" spans="1:43" ht="15.75" customHeight="1">
      <c r="A377" s="122"/>
      <c r="B377" s="122"/>
      <c r="C377" s="122"/>
      <c r="D377" s="122"/>
      <c r="E377" s="122"/>
      <c r="F377" s="122"/>
      <c r="G377" s="122"/>
      <c r="H377" s="122"/>
      <c r="I377" s="122"/>
      <c r="J377" s="122"/>
      <c r="K377" s="122"/>
      <c r="L377" s="122"/>
      <c r="M377" s="123"/>
      <c r="N377" s="123"/>
      <c r="O377" s="122"/>
      <c r="P377" s="124"/>
      <c r="Q377" s="122"/>
      <c r="R377" s="122"/>
      <c r="S377" s="122"/>
      <c r="T377" s="122"/>
      <c r="U377" s="122"/>
      <c r="V377" s="124"/>
      <c r="W377" s="125"/>
      <c r="X377" s="122"/>
      <c r="Y377" s="122"/>
      <c r="Z377" s="122"/>
      <c r="AA377" s="126"/>
      <c r="AB377" s="122"/>
      <c r="AC377" s="122"/>
      <c r="AD377" s="127"/>
      <c r="AE377" s="127"/>
      <c r="AF377" s="127"/>
      <c r="AG377" s="127"/>
      <c r="AH377" s="124"/>
      <c r="AI377" s="127"/>
      <c r="AJ377" s="127"/>
      <c r="AK377" s="126"/>
      <c r="AL377" s="122"/>
      <c r="AM377" s="122"/>
      <c r="AN377" s="122"/>
      <c r="AO377" s="122"/>
      <c r="AP377" s="122"/>
      <c r="AQ377" s="124"/>
    </row>
    <row r="378" spans="1:43" ht="15.75" customHeight="1">
      <c r="A378" s="122"/>
      <c r="B378" s="122"/>
      <c r="C378" s="122"/>
      <c r="D378" s="122"/>
      <c r="E378" s="122"/>
      <c r="F378" s="122"/>
      <c r="G378" s="122"/>
      <c r="H378" s="122"/>
      <c r="I378" s="122"/>
      <c r="J378" s="122"/>
      <c r="K378" s="122"/>
      <c r="L378" s="122"/>
      <c r="M378" s="123"/>
      <c r="N378" s="123"/>
      <c r="O378" s="122"/>
      <c r="P378" s="124"/>
      <c r="Q378" s="122"/>
      <c r="R378" s="122"/>
      <c r="S378" s="122"/>
      <c r="T378" s="122"/>
      <c r="U378" s="122"/>
      <c r="V378" s="124"/>
      <c r="W378" s="125"/>
      <c r="X378" s="122"/>
      <c r="Y378" s="122"/>
      <c r="Z378" s="122"/>
      <c r="AA378" s="126"/>
      <c r="AB378" s="122"/>
      <c r="AC378" s="122"/>
      <c r="AD378" s="127"/>
      <c r="AE378" s="127"/>
      <c r="AF378" s="127"/>
      <c r="AG378" s="127"/>
      <c r="AH378" s="124"/>
      <c r="AI378" s="127"/>
      <c r="AJ378" s="127"/>
      <c r="AK378" s="126"/>
      <c r="AL378" s="122"/>
      <c r="AM378" s="122"/>
      <c r="AN378" s="122"/>
      <c r="AO378" s="122"/>
      <c r="AP378" s="122"/>
      <c r="AQ378" s="124"/>
    </row>
    <row r="379" spans="1:43" ht="15.75" customHeight="1">
      <c r="A379" s="122"/>
      <c r="B379" s="122"/>
      <c r="C379" s="122"/>
      <c r="D379" s="122"/>
      <c r="E379" s="122"/>
      <c r="F379" s="122"/>
      <c r="G379" s="122"/>
      <c r="H379" s="122"/>
      <c r="I379" s="122"/>
      <c r="J379" s="122"/>
      <c r="K379" s="122"/>
      <c r="L379" s="122"/>
      <c r="M379" s="123"/>
      <c r="N379" s="123"/>
      <c r="O379" s="122"/>
      <c r="P379" s="124"/>
      <c r="Q379" s="122"/>
      <c r="R379" s="122"/>
      <c r="S379" s="122"/>
      <c r="T379" s="122"/>
      <c r="U379" s="122"/>
      <c r="V379" s="124"/>
      <c r="W379" s="125"/>
      <c r="X379" s="122"/>
      <c r="Y379" s="122"/>
      <c r="Z379" s="122"/>
      <c r="AA379" s="126"/>
      <c r="AB379" s="122"/>
      <c r="AC379" s="122"/>
      <c r="AD379" s="127"/>
      <c r="AE379" s="127"/>
      <c r="AF379" s="127"/>
      <c r="AG379" s="127"/>
      <c r="AH379" s="124"/>
      <c r="AI379" s="127"/>
      <c r="AJ379" s="127"/>
      <c r="AK379" s="126"/>
      <c r="AL379" s="122"/>
      <c r="AM379" s="122"/>
      <c r="AN379" s="122"/>
      <c r="AO379" s="122"/>
      <c r="AP379" s="122"/>
      <c r="AQ379" s="124"/>
    </row>
    <row r="380" spans="1:43" ht="15.75" customHeight="1">
      <c r="A380" s="122"/>
      <c r="B380" s="122"/>
      <c r="C380" s="122"/>
      <c r="D380" s="122"/>
      <c r="E380" s="122"/>
      <c r="F380" s="122"/>
      <c r="G380" s="122"/>
      <c r="H380" s="122"/>
      <c r="I380" s="122"/>
      <c r="J380" s="122"/>
      <c r="K380" s="122"/>
      <c r="L380" s="122"/>
      <c r="M380" s="123"/>
      <c r="N380" s="123"/>
      <c r="O380" s="122"/>
      <c r="P380" s="124"/>
      <c r="Q380" s="122"/>
      <c r="R380" s="122"/>
      <c r="S380" s="122"/>
      <c r="T380" s="122"/>
      <c r="U380" s="122"/>
      <c r="V380" s="124"/>
      <c r="W380" s="125"/>
      <c r="X380" s="122"/>
      <c r="Y380" s="122"/>
      <c r="Z380" s="122"/>
      <c r="AA380" s="126"/>
      <c r="AB380" s="122"/>
      <c r="AC380" s="122"/>
      <c r="AD380" s="127"/>
      <c r="AE380" s="127"/>
      <c r="AF380" s="127"/>
      <c r="AG380" s="127"/>
      <c r="AH380" s="124"/>
      <c r="AI380" s="127"/>
      <c r="AJ380" s="127"/>
      <c r="AK380" s="126"/>
      <c r="AL380" s="122"/>
      <c r="AM380" s="122"/>
      <c r="AN380" s="122"/>
      <c r="AO380" s="122"/>
      <c r="AP380" s="122"/>
      <c r="AQ380" s="124"/>
    </row>
    <row r="381" spans="1:43" ht="15.75" customHeight="1">
      <c r="A381" s="122"/>
      <c r="B381" s="122"/>
      <c r="C381" s="122"/>
      <c r="D381" s="122"/>
      <c r="E381" s="122"/>
      <c r="F381" s="122"/>
      <c r="G381" s="122"/>
      <c r="H381" s="122"/>
      <c r="I381" s="122"/>
      <c r="J381" s="122"/>
      <c r="K381" s="122"/>
      <c r="L381" s="122"/>
      <c r="M381" s="123"/>
      <c r="N381" s="123"/>
      <c r="O381" s="122"/>
      <c r="P381" s="124"/>
      <c r="Q381" s="122"/>
      <c r="R381" s="122"/>
      <c r="S381" s="122"/>
      <c r="T381" s="122"/>
      <c r="U381" s="122"/>
      <c r="V381" s="124"/>
      <c r="W381" s="125"/>
      <c r="X381" s="122"/>
      <c r="Y381" s="122"/>
      <c r="Z381" s="122"/>
      <c r="AA381" s="126"/>
      <c r="AB381" s="122"/>
      <c r="AC381" s="122"/>
      <c r="AD381" s="127"/>
      <c r="AE381" s="127"/>
      <c r="AF381" s="127"/>
      <c r="AG381" s="127"/>
      <c r="AH381" s="124"/>
      <c r="AI381" s="127"/>
      <c r="AJ381" s="127"/>
      <c r="AK381" s="126"/>
      <c r="AL381" s="122"/>
      <c r="AM381" s="122"/>
      <c r="AN381" s="122"/>
      <c r="AO381" s="122"/>
      <c r="AP381" s="122"/>
      <c r="AQ381" s="124"/>
    </row>
    <row r="382" spans="1:43" ht="15.75" customHeight="1">
      <c r="A382" s="122"/>
      <c r="B382" s="122"/>
      <c r="C382" s="122"/>
      <c r="D382" s="122"/>
      <c r="E382" s="122"/>
      <c r="F382" s="122"/>
      <c r="G382" s="122"/>
      <c r="H382" s="122"/>
      <c r="I382" s="122"/>
      <c r="J382" s="122"/>
      <c r="K382" s="122"/>
      <c r="L382" s="122"/>
      <c r="M382" s="123"/>
      <c r="N382" s="123"/>
      <c r="O382" s="122"/>
      <c r="P382" s="124"/>
      <c r="Q382" s="122"/>
      <c r="R382" s="122"/>
      <c r="S382" s="122"/>
      <c r="T382" s="122"/>
      <c r="U382" s="122"/>
      <c r="V382" s="124"/>
      <c r="W382" s="125"/>
      <c r="X382" s="122"/>
      <c r="Y382" s="122"/>
      <c r="Z382" s="122"/>
      <c r="AA382" s="126"/>
      <c r="AB382" s="122"/>
      <c r="AC382" s="122"/>
      <c r="AD382" s="127"/>
      <c r="AE382" s="127"/>
      <c r="AF382" s="127"/>
      <c r="AG382" s="127"/>
      <c r="AH382" s="124"/>
      <c r="AI382" s="127"/>
      <c r="AJ382" s="127"/>
      <c r="AK382" s="126"/>
      <c r="AL382" s="122"/>
      <c r="AM382" s="122"/>
      <c r="AN382" s="122"/>
      <c r="AO382" s="122"/>
      <c r="AP382" s="122"/>
      <c r="AQ382" s="124"/>
    </row>
    <row r="383" spans="1:43" ht="15.75" customHeight="1">
      <c r="A383" s="122"/>
      <c r="B383" s="122"/>
      <c r="C383" s="122"/>
      <c r="D383" s="122"/>
      <c r="E383" s="122"/>
      <c r="F383" s="122"/>
      <c r="G383" s="122"/>
      <c r="H383" s="122"/>
      <c r="I383" s="122"/>
      <c r="J383" s="122"/>
      <c r="K383" s="122"/>
      <c r="L383" s="122"/>
      <c r="M383" s="123"/>
      <c r="N383" s="123"/>
      <c r="O383" s="122"/>
      <c r="P383" s="124"/>
      <c r="Q383" s="122"/>
      <c r="R383" s="122"/>
      <c r="S383" s="122"/>
      <c r="T383" s="122"/>
      <c r="U383" s="122"/>
      <c r="V383" s="124"/>
      <c r="W383" s="125"/>
      <c r="X383" s="122"/>
      <c r="Y383" s="122"/>
      <c r="Z383" s="122"/>
      <c r="AA383" s="126"/>
      <c r="AB383" s="122"/>
      <c r="AC383" s="122"/>
      <c r="AD383" s="127"/>
      <c r="AE383" s="127"/>
      <c r="AF383" s="127"/>
      <c r="AG383" s="127"/>
      <c r="AH383" s="124"/>
      <c r="AI383" s="127"/>
      <c r="AJ383" s="127"/>
      <c r="AK383" s="126"/>
      <c r="AL383" s="122"/>
      <c r="AM383" s="122"/>
      <c r="AN383" s="122"/>
      <c r="AO383" s="122"/>
      <c r="AP383" s="122"/>
      <c r="AQ383" s="124"/>
    </row>
    <row r="384" spans="1:43" ht="15.75" customHeight="1">
      <c r="A384" s="122"/>
      <c r="B384" s="122"/>
      <c r="C384" s="122"/>
      <c r="D384" s="122"/>
      <c r="E384" s="122"/>
      <c r="F384" s="122"/>
      <c r="G384" s="122"/>
      <c r="H384" s="122"/>
      <c r="I384" s="122"/>
      <c r="J384" s="122"/>
      <c r="K384" s="122"/>
      <c r="L384" s="122"/>
      <c r="M384" s="123"/>
      <c r="N384" s="123"/>
      <c r="O384" s="122"/>
      <c r="P384" s="124"/>
      <c r="Q384" s="122"/>
      <c r="R384" s="122"/>
      <c r="S384" s="122"/>
      <c r="T384" s="122"/>
      <c r="U384" s="122"/>
      <c r="V384" s="124"/>
      <c r="W384" s="125"/>
      <c r="X384" s="122"/>
      <c r="Y384" s="122"/>
      <c r="Z384" s="122"/>
      <c r="AA384" s="126"/>
      <c r="AB384" s="122"/>
      <c r="AC384" s="122"/>
      <c r="AD384" s="127"/>
      <c r="AE384" s="127"/>
      <c r="AF384" s="127"/>
      <c r="AG384" s="127"/>
      <c r="AH384" s="124"/>
      <c r="AI384" s="127"/>
      <c r="AJ384" s="127"/>
      <c r="AK384" s="126"/>
      <c r="AL384" s="122"/>
      <c r="AM384" s="122"/>
      <c r="AN384" s="122"/>
      <c r="AO384" s="122"/>
      <c r="AP384" s="122"/>
      <c r="AQ384" s="124"/>
    </row>
    <row r="385" spans="1:43" ht="15.75" customHeight="1">
      <c r="A385" s="122"/>
      <c r="B385" s="122"/>
      <c r="C385" s="122"/>
      <c r="D385" s="122"/>
      <c r="E385" s="122"/>
      <c r="F385" s="122"/>
      <c r="G385" s="122"/>
      <c r="H385" s="122"/>
      <c r="I385" s="122"/>
      <c r="J385" s="122"/>
      <c r="K385" s="122"/>
      <c r="L385" s="122"/>
      <c r="M385" s="123"/>
      <c r="N385" s="123"/>
      <c r="O385" s="122"/>
      <c r="P385" s="124"/>
      <c r="Q385" s="122"/>
      <c r="R385" s="122"/>
      <c r="S385" s="122"/>
      <c r="T385" s="122"/>
      <c r="U385" s="122"/>
      <c r="V385" s="124"/>
      <c r="W385" s="125"/>
      <c r="X385" s="122"/>
      <c r="Y385" s="122"/>
      <c r="Z385" s="122"/>
      <c r="AA385" s="126"/>
      <c r="AB385" s="122"/>
      <c r="AC385" s="122"/>
      <c r="AD385" s="127"/>
      <c r="AE385" s="127"/>
      <c r="AF385" s="127"/>
      <c r="AG385" s="127"/>
      <c r="AH385" s="124"/>
      <c r="AI385" s="127"/>
      <c r="AJ385" s="127"/>
      <c r="AK385" s="126"/>
      <c r="AL385" s="122"/>
      <c r="AM385" s="122"/>
      <c r="AN385" s="122"/>
      <c r="AO385" s="122"/>
      <c r="AP385" s="122"/>
      <c r="AQ385" s="124"/>
    </row>
    <row r="386" spans="1:43" ht="15.75" customHeight="1">
      <c r="A386" s="122"/>
      <c r="B386" s="122"/>
      <c r="C386" s="122"/>
      <c r="D386" s="122"/>
      <c r="E386" s="122"/>
      <c r="F386" s="122"/>
      <c r="G386" s="122"/>
      <c r="H386" s="122"/>
      <c r="I386" s="122"/>
      <c r="J386" s="122"/>
      <c r="K386" s="122"/>
      <c r="L386" s="122"/>
      <c r="M386" s="123"/>
      <c r="N386" s="123"/>
      <c r="O386" s="122"/>
      <c r="P386" s="124"/>
      <c r="Q386" s="122"/>
      <c r="R386" s="122"/>
      <c r="S386" s="122"/>
      <c r="T386" s="122"/>
      <c r="U386" s="122"/>
      <c r="V386" s="124"/>
      <c r="W386" s="125"/>
      <c r="X386" s="122"/>
      <c r="Y386" s="122"/>
      <c r="Z386" s="122"/>
      <c r="AA386" s="126"/>
      <c r="AB386" s="122"/>
      <c r="AC386" s="122"/>
      <c r="AD386" s="127"/>
      <c r="AE386" s="127"/>
      <c r="AF386" s="127"/>
      <c r="AG386" s="127"/>
      <c r="AH386" s="124"/>
      <c r="AI386" s="127"/>
      <c r="AJ386" s="127"/>
      <c r="AK386" s="126"/>
      <c r="AL386" s="122"/>
      <c r="AM386" s="122"/>
      <c r="AN386" s="122"/>
      <c r="AO386" s="122"/>
      <c r="AP386" s="122"/>
      <c r="AQ386" s="124"/>
    </row>
    <row r="387" spans="1:43" ht="15.75" customHeight="1">
      <c r="A387" s="122"/>
      <c r="B387" s="122"/>
      <c r="C387" s="122"/>
      <c r="D387" s="122"/>
      <c r="E387" s="122"/>
      <c r="F387" s="122"/>
      <c r="G387" s="122"/>
      <c r="H387" s="122"/>
      <c r="I387" s="122"/>
      <c r="J387" s="122"/>
      <c r="K387" s="122"/>
      <c r="L387" s="122"/>
      <c r="M387" s="123"/>
      <c r="N387" s="123"/>
      <c r="O387" s="122"/>
      <c r="P387" s="124"/>
      <c r="Q387" s="122"/>
      <c r="R387" s="122"/>
      <c r="S387" s="122"/>
      <c r="T387" s="122"/>
      <c r="U387" s="122"/>
      <c r="V387" s="124"/>
      <c r="W387" s="125"/>
      <c r="X387" s="122"/>
      <c r="Y387" s="122"/>
      <c r="Z387" s="122"/>
      <c r="AA387" s="126"/>
      <c r="AB387" s="122"/>
      <c r="AC387" s="122"/>
      <c r="AD387" s="127"/>
      <c r="AE387" s="127"/>
      <c r="AF387" s="127"/>
      <c r="AG387" s="127"/>
      <c r="AH387" s="124"/>
      <c r="AI387" s="127"/>
      <c r="AJ387" s="127"/>
      <c r="AK387" s="126"/>
      <c r="AL387" s="122"/>
      <c r="AM387" s="122"/>
      <c r="AN387" s="122"/>
      <c r="AO387" s="122"/>
      <c r="AP387" s="122"/>
      <c r="AQ387" s="124"/>
    </row>
    <row r="388" spans="1:43" ht="15.75" customHeight="1">
      <c r="A388" s="122"/>
      <c r="B388" s="122"/>
      <c r="C388" s="122"/>
      <c r="D388" s="122"/>
      <c r="E388" s="122"/>
      <c r="F388" s="122"/>
      <c r="G388" s="122"/>
      <c r="H388" s="122"/>
      <c r="I388" s="122"/>
      <c r="J388" s="122"/>
      <c r="K388" s="122"/>
      <c r="L388" s="122"/>
      <c r="M388" s="123"/>
      <c r="N388" s="123"/>
      <c r="O388" s="122"/>
      <c r="P388" s="124"/>
      <c r="Q388" s="122"/>
      <c r="R388" s="122"/>
      <c r="S388" s="122"/>
      <c r="T388" s="122"/>
      <c r="U388" s="122"/>
      <c r="V388" s="124"/>
      <c r="W388" s="125"/>
      <c r="X388" s="122"/>
      <c r="Y388" s="122"/>
      <c r="Z388" s="122"/>
      <c r="AA388" s="126"/>
      <c r="AB388" s="122"/>
      <c r="AC388" s="122"/>
      <c r="AD388" s="127"/>
      <c r="AE388" s="127"/>
      <c r="AF388" s="127"/>
      <c r="AG388" s="127"/>
      <c r="AH388" s="124"/>
      <c r="AI388" s="127"/>
      <c r="AJ388" s="127"/>
      <c r="AK388" s="126"/>
      <c r="AL388" s="122"/>
      <c r="AM388" s="122"/>
      <c r="AN388" s="122"/>
      <c r="AO388" s="122"/>
      <c r="AP388" s="122"/>
      <c r="AQ388" s="124"/>
    </row>
    <row r="389" spans="1:43" ht="15.75" customHeight="1">
      <c r="A389" s="122"/>
      <c r="B389" s="122"/>
      <c r="C389" s="122"/>
      <c r="D389" s="122"/>
      <c r="E389" s="122"/>
      <c r="F389" s="122"/>
      <c r="G389" s="122"/>
      <c r="H389" s="122"/>
      <c r="I389" s="122"/>
      <c r="J389" s="122"/>
      <c r="K389" s="122"/>
      <c r="L389" s="122"/>
      <c r="M389" s="123"/>
      <c r="N389" s="123"/>
      <c r="O389" s="122"/>
      <c r="P389" s="124"/>
      <c r="Q389" s="122"/>
      <c r="R389" s="122"/>
      <c r="S389" s="122"/>
      <c r="T389" s="122"/>
      <c r="U389" s="122"/>
      <c r="V389" s="124"/>
      <c r="W389" s="125"/>
      <c r="X389" s="122"/>
      <c r="Y389" s="122"/>
      <c r="Z389" s="122"/>
      <c r="AA389" s="126"/>
      <c r="AB389" s="122"/>
      <c r="AC389" s="122"/>
      <c r="AD389" s="127"/>
      <c r="AE389" s="127"/>
      <c r="AF389" s="127"/>
      <c r="AG389" s="127"/>
      <c r="AH389" s="124"/>
      <c r="AI389" s="127"/>
      <c r="AJ389" s="127"/>
      <c r="AK389" s="126"/>
      <c r="AL389" s="122"/>
      <c r="AM389" s="122"/>
      <c r="AN389" s="122"/>
      <c r="AO389" s="122"/>
      <c r="AP389" s="122"/>
      <c r="AQ389" s="124"/>
    </row>
    <row r="390" spans="1:43" ht="15.75" customHeight="1">
      <c r="A390" s="122"/>
      <c r="B390" s="122"/>
      <c r="C390" s="122"/>
      <c r="D390" s="122"/>
      <c r="E390" s="122"/>
      <c r="F390" s="122"/>
      <c r="G390" s="122"/>
      <c r="H390" s="122"/>
      <c r="I390" s="122"/>
      <c r="J390" s="122"/>
      <c r="K390" s="122"/>
      <c r="L390" s="122"/>
      <c r="M390" s="123"/>
      <c r="N390" s="123"/>
      <c r="O390" s="122"/>
      <c r="P390" s="124"/>
      <c r="Q390" s="122"/>
      <c r="R390" s="122"/>
      <c r="S390" s="122"/>
      <c r="T390" s="122"/>
      <c r="U390" s="122"/>
      <c r="V390" s="124"/>
      <c r="W390" s="125"/>
      <c r="X390" s="122"/>
      <c r="Y390" s="122"/>
      <c r="Z390" s="122"/>
      <c r="AA390" s="126"/>
      <c r="AB390" s="122"/>
      <c r="AC390" s="122"/>
      <c r="AD390" s="127"/>
      <c r="AE390" s="127"/>
      <c r="AF390" s="127"/>
      <c r="AG390" s="127"/>
      <c r="AH390" s="124"/>
      <c r="AI390" s="127"/>
      <c r="AJ390" s="127"/>
      <c r="AK390" s="126"/>
      <c r="AL390" s="122"/>
      <c r="AM390" s="122"/>
      <c r="AN390" s="122"/>
      <c r="AO390" s="122"/>
      <c r="AP390" s="122"/>
      <c r="AQ390" s="124"/>
    </row>
    <row r="391" spans="1:43" ht="15.75" customHeight="1">
      <c r="A391" s="122"/>
      <c r="B391" s="122"/>
      <c r="C391" s="122"/>
      <c r="D391" s="122"/>
      <c r="E391" s="122"/>
      <c r="F391" s="122"/>
      <c r="G391" s="122"/>
      <c r="H391" s="122"/>
      <c r="I391" s="122"/>
      <c r="J391" s="122"/>
      <c r="K391" s="122"/>
      <c r="L391" s="122"/>
      <c r="M391" s="123"/>
      <c r="N391" s="123"/>
      <c r="O391" s="122"/>
      <c r="P391" s="124"/>
      <c r="Q391" s="122"/>
      <c r="R391" s="122"/>
      <c r="S391" s="122"/>
      <c r="T391" s="122"/>
      <c r="U391" s="122"/>
      <c r="V391" s="124"/>
      <c r="W391" s="125"/>
      <c r="X391" s="122"/>
      <c r="Y391" s="122"/>
      <c r="Z391" s="122"/>
      <c r="AA391" s="126"/>
      <c r="AB391" s="122"/>
      <c r="AC391" s="122"/>
      <c r="AD391" s="127"/>
      <c r="AE391" s="127"/>
      <c r="AF391" s="127"/>
      <c r="AG391" s="127"/>
      <c r="AH391" s="124"/>
      <c r="AI391" s="127"/>
      <c r="AJ391" s="127"/>
      <c r="AK391" s="126"/>
      <c r="AL391" s="122"/>
      <c r="AM391" s="122"/>
      <c r="AN391" s="122"/>
      <c r="AO391" s="122"/>
      <c r="AP391" s="122"/>
      <c r="AQ391" s="124"/>
    </row>
    <row r="392" spans="1:43" ht="15.75" customHeight="1">
      <c r="A392" s="122"/>
      <c r="B392" s="122"/>
      <c r="C392" s="122"/>
      <c r="D392" s="122"/>
      <c r="E392" s="122"/>
      <c r="F392" s="122"/>
      <c r="G392" s="122"/>
      <c r="H392" s="122"/>
      <c r="I392" s="122"/>
      <c r="J392" s="122"/>
      <c r="K392" s="122"/>
      <c r="L392" s="122"/>
      <c r="M392" s="123"/>
      <c r="N392" s="123"/>
      <c r="O392" s="122"/>
      <c r="P392" s="124"/>
      <c r="Q392" s="122"/>
      <c r="R392" s="122"/>
      <c r="S392" s="122"/>
      <c r="T392" s="122"/>
      <c r="U392" s="122"/>
      <c r="V392" s="124"/>
      <c r="W392" s="125"/>
      <c r="X392" s="122"/>
      <c r="Y392" s="122"/>
      <c r="Z392" s="122"/>
      <c r="AA392" s="126"/>
      <c r="AB392" s="122"/>
      <c r="AC392" s="122"/>
      <c r="AD392" s="127"/>
      <c r="AE392" s="127"/>
      <c r="AF392" s="127"/>
      <c r="AG392" s="127"/>
      <c r="AH392" s="124"/>
      <c r="AI392" s="127"/>
      <c r="AJ392" s="127"/>
      <c r="AK392" s="126"/>
      <c r="AL392" s="122"/>
      <c r="AM392" s="122"/>
      <c r="AN392" s="122"/>
      <c r="AO392" s="122"/>
      <c r="AP392" s="122"/>
      <c r="AQ392" s="124"/>
    </row>
    <row r="393" spans="1:43" ht="15.75" customHeight="1">
      <c r="A393" s="122"/>
      <c r="B393" s="122"/>
      <c r="C393" s="122"/>
      <c r="D393" s="122"/>
      <c r="E393" s="122"/>
      <c r="F393" s="122"/>
      <c r="G393" s="122"/>
      <c r="H393" s="122"/>
      <c r="I393" s="122"/>
      <c r="J393" s="122"/>
      <c r="K393" s="122"/>
      <c r="L393" s="122"/>
      <c r="M393" s="123"/>
      <c r="N393" s="123"/>
      <c r="O393" s="122"/>
      <c r="P393" s="124"/>
      <c r="Q393" s="122"/>
      <c r="R393" s="122"/>
      <c r="S393" s="122"/>
      <c r="T393" s="122"/>
      <c r="U393" s="122"/>
      <c r="V393" s="124"/>
      <c r="W393" s="125"/>
      <c r="X393" s="122"/>
      <c r="Y393" s="122"/>
      <c r="Z393" s="122"/>
      <c r="AA393" s="126"/>
      <c r="AB393" s="122"/>
      <c r="AC393" s="122"/>
      <c r="AD393" s="127"/>
      <c r="AE393" s="127"/>
      <c r="AF393" s="127"/>
      <c r="AG393" s="127"/>
      <c r="AH393" s="124"/>
      <c r="AI393" s="127"/>
      <c r="AJ393" s="127"/>
      <c r="AK393" s="126"/>
      <c r="AL393" s="122"/>
      <c r="AM393" s="122"/>
      <c r="AN393" s="122"/>
      <c r="AO393" s="122"/>
      <c r="AP393" s="122"/>
      <c r="AQ393" s="124"/>
    </row>
    <row r="394" spans="1:43" ht="15.75" customHeight="1">
      <c r="A394" s="122"/>
      <c r="B394" s="122"/>
      <c r="C394" s="122"/>
      <c r="D394" s="122"/>
      <c r="E394" s="122"/>
      <c r="F394" s="122"/>
      <c r="G394" s="122"/>
      <c r="H394" s="122"/>
      <c r="I394" s="122"/>
      <c r="J394" s="122"/>
      <c r="K394" s="122"/>
      <c r="L394" s="122"/>
      <c r="M394" s="123"/>
      <c r="N394" s="123"/>
      <c r="O394" s="122"/>
      <c r="P394" s="124"/>
      <c r="Q394" s="122"/>
      <c r="R394" s="122"/>
      <c r="S394" s="122"/>
      <c r="T394" s="122"/>
      <c r="U394" s="122"/>
      <c r="V394" s="124"/>
      <c r="W394" s="125"/>
      <c r="X394" s="122"/>
      <c r="Y394" s="122"/>
      <c r="Z394" s="122"/>
      <c r="AA394" s="126"/>
      <c r="AB394" s="122"/>
      <c r="AC394" s="122"/>
      <c r="AD394" s="127"/>
      <c r="AE394" s="127"/>
      <c r="AF394" s="127"/>
      <c r="AG394" s="127"/>
      <c r="AH394" s="124"/>
      <c r="AI394" s="127"/>
      <c r="AJ394" s="127"/>
      <c r="AK394" s="126"/>
      <c r="AL394" s="122"/>
      <c r="AM394" s="122"/>
      <c r="AN394" s="122"/>
      <c r="AO394" s="122"/>
      <c r="AP394" s="122"/>
      <c r="AQ394" s="124"/>
    </row>
    <row r="395" spans="1:43" ht="15.75" customHeight="1">
      <c r="A395" s="122"/>
      <c r="B395" s="122"/>
      <c r="C395" s="122"/>
      <c r="D395" s="122"/>
      <c r="E395" s="122"/>
      <c r="F395" s="122"/>
      <c r="G395" s="122"/>
      <c r="H395" s="122"/>
      <c r="I395" s="122"/>
      <c r="J395" s="122"/>
      <c r="K395" s="122"/>
      <c r="L395" s="122"/>
      <c r="M395" s="123"/>
      <c r="N395" s="123"/>
      <c r="O395" s="122"/>
      <c r="P395" s="124"/>
      <c r="Q395" s="122"/>
      <c r="R395" s="122"/>
      <c r="S395" s="122"/>
      <c r="T395" s="122"/>
      <c r="U395" s="122"/>
      <c r="V395" s="124"/>
      <c r="W395" s="125"/>
      <c r="X395" s="122"/>
      <c r="Y395" s="122"/>
      <c r="Z395" s="122"/>
      <c r="AA395" s="126"/>
      <c r="AB395" s="122"/>
      <c r="AC395" s="122"/>
      <c r="AD395" s="127"/>
      <c r="AE395" s="127"/>
      <c r="AF395" s="127"/>
      <c r="AG395" s="127"/>
      <c r="AH395" s="124"/>
      <c r="AI395" s="127"/>
      <c r="AJ395" s="127"/>
      <c r="AK395" s="126"/>
      <c r="AL395" s="122"/>
      <c r="AM395" s="122"/>
      <c r="AN395" s="122"/>
      <c r="AO395" s="122"/>
      <c r="AP395" s="122"/>
      <c r="AQ395" s="124"/>
    </row>
    <row r="396" spans="1:43" ht="15.75" customHeight="1">
      <c r="A396" s="122"/>
      <c r="B396" s="122"/>
      <c r="C396" s="122"/>
      <c r="D396" s="122"/>
      <c r="E396" s="122"/>
      <c r="F396" s="122"/>
      <c r="G396" s="122"/>
      <c r="H396" s="122"/>
      <c r="I396" s="122"/>
      <c r="J396" s="122"/>
      <c r="K396" s="122"/>
      <c r="L396" s="122"/>
      <c r="M396" s="123"/>
      <c r="N396" s="123"/>
      <c r="O396" s="122"/>
      <c r="P396" s="124"/>
      <c r="Q396" s="122"/>
      <c r="R396" s="122"/>
      <c r="S396" s="122"/>
      <c r="T396" s="122"/>
      <c r="U396" s="122"/>
      <c r="V396" s="124"/>
      <c r="W396" s="125"/>
      <c r="X396" s="122"/>
      <c r="Y396" s="122"/>
      <c r="Z396" s="122"/>
      <c r="AA396" s="126"/>
      <c r="AB396" s="122"/>
      <c r="AC396" s="122"/>
      <c r="AD396" s="127"/>
      <c r="AE396" s="127"/>
      <c r="AF396" s="127"/>
      <c r="AG396" s="127"/>
      <c r="AH396" s="124"/>
      <c r="AI396" s="127"/>
      <c r="AJ396" s="127"/>
      <c r="AK396" s="126"/>
      <c r="AL396" s="122"/>
      <c r="AM396" s="122"/>
      <c r="AN396" s="122"/>
      <c r="AO396" s="122"/>
      <c r="AP396" s="122"/>
      <c r="AQ396" s="124"/>
    </row>
    <row r="397" spans="1:43" ht="15.75" customHeight="1">
      <c r="A397" s="122"/>
      <c r="B397" s="122"/>
      <c r="C397" s="122"/>
      <c r="D397" s="122"/>
      <c r="E397" s="122"/>
      <c r="F397" s="122"/>
      <c r="G397" s="122"/>
      <c r="H397" s="122"/>
      <c r="I397" s="122"/>
      <c r="J397" s="122"/>
      <c r="K397" s="122"/>
      <c r="L397" s="122"/>
      <c r="M397" s="123"/>
      <c r="N397" s="123"/>
      <c r="O397" s="122"/>
      <c r="P397" s="124"/>
      <c r="Q397" s="122"/>
      <c r="R397" s="122"/>
      <c r="S397" s="122"/>
      <c r="T397" s="122"/>
      <c r="U397" s="122"/>
      <c r="V397" s="124"/>
      <c r="W397" s="125"/>
      <c r="X397" s="122"/>
      <c r="Y397" s="122"/>
      <c r="Z397" s="122"/>
      <c r="AA397" s="126"/>
      <c r="AB397" s="122"/>
      <c r="AC397" s="122"/>
      <c r="AD397" s="127"/>
      <c r="AE397" s="127"/>
      <c r="AF397" s="127"/>
      <c r="AG397" s="127"/>
      <c r="AH397" s="124"/>
      <c r="AI397" s="127"/>
      <c r="AJ397" s="127"/>
      <c r="AK397" s="126"/>
      <c r="AL397" s="122"/>
      <c r="AM397" s="122"/>
      <c r="AN397" s="122"/>
      <c r="AO397" s="122"/>
      <c r="AP397" s="122"/>
      <c r="AQ397" s="124"/>
    </row>
    <row r="398" spans="1:43" ht="15.75" customHeight="1">
      <c r="A398" s="122"/>
      <c r="B398" s="122"/>
      <c r="C398" s="122"/>
      <c r="D398" s="122"/>
      <c r="E398" s="122"/>
      <c r="F398" s="122"/>
      <c r="G398" s="122"/>
      <c r="H398" s="122"/>
      <c r="I398" s="122"/>
      <c r="J398" s="122"/>
      <c r="K398" s="122"/>
      <c r="L398" s="122"/>
      <c r="M398" s="123"/>
      <c r="N398" s="123"/>
      <c r="O398" s="122"/>
      <c r="P398" s="124"/>
      <c r="Q398" s="122"/>
      <c r="R398" s="122"/>
      <c r="S398" s="122"/>
      <c r="T398" s="122"/>
      <c r="U398" s="122"/>
      <c r="V398" s="124"/>
      <c r="W398" s="125"/>
      <c r="X398" s="122"/>
      <c r="Y398" s="122"/>
      <c r="Z398" s="122"/>
      <c r="AA398" s="126"/>
      <c r="AB398" s="122"/>
      <c r="AC398" s="122"/>
      <c r="AD398" s="127"/>
      <c r="AE398" s="127"/>
      <c r="AF398" s="127"/>
      <c r="AG398" s="127"/>
      <c r="AH398" s="124"/>
      <c r="AI398" s="127"/>
      <c r="AJ398" s="127"/>
      <c r="AK398" s="126"/>
      <c r="AL398" s="122"/>
      <c r="AM398" s="122"/>
      <c r="AN398" s="122"/>
      <c r="AO398" s="122"/>
      <c r="AP398" s="122"/>
      <c r="AQ398" s="124"/>
    </row>
    <row r="399" spans="1:43" ht="15.75" customHeight="1">
      <c r="A399" s="122"/>
      <c r="B399" s="122"/>
      <c r="C399" s="122"/>
      <c r="D399" s="122"/>
      <c r="E399" s="122"/>
      <c r="F399" s="122"/>
      <c r="G399" s="122"/>
      <c r="H399" s="122"/>
      <c r="I399" s="122"/>
      <c r="J399" s="122"/>
      <c r="K399" s="122"/>
      <c r="L399" s="122"/>
      <c r="M399" s="123"/>
      <c r="N399" s="123"/>
      <c r="O399" s="122"/>
      <c r="P399" s="124"/>
      <c r="Q399" s="122"/>
      <c r="R399" s="122"/>
      <c r="S399" s="122"/>
      <c r="T399" s="122"/>
      <c r="U399" s="122"/>
      <c r="V399" s="124"/>
      <c r="W399" s="125"/>
      <c r="X399" s="122"/>
      <c r="Y399" s="122"/>
      <c r="Z399" s="122"/>
      <c r="AA399" s="126"/>
      <c r="AB399" s="122"/>
      <c r="AC399" s="122"/>
      <c r="AD399" s="127"/>
      <c r="AE399" s="127"/>
      <c r="AF399" s="127"/>
      <c r="AG399" s="127"/>
      <c r="AH399" s="124"/>
      <c r="AI399" s="127"/>
      <c r="AJ399" s="127"/>
      <c r="AK399" s="126"/>
      <c r="AL399" s="122"/>
      <c r="AM399" s="122"/>
      <c r="AN399" s="122"/>
      <c r="AO399" s="122"/>
      <c r="AP399" s="122"/>
      <c r="AQ399" s="124"/>
    </row>
    <row r="400" spans="1:43" ht="15.75" customHeight="1">
      <c r="A400" s="122"/>
      <c r="B400" s="122"/>
      <c r="C400" s="122"/>
      <c r="D400" s="122"/>
      <c r="E400" s="122"/>
      <c r="F400" s="122"/>
      <c r="G400" s="122"/>
      <c r="H400" s="122"/>
      <c r="I400" s="122"/>
      <c r="J400" s="122"/>
      <c r="K400" s="122"/>
      <c r="L400" s="122"/>
      <c r="M400" s="123"/>
      <c r="N400" s="123"/>
      <c r="O400" s="122"/>
      <c r="P400" s="124"/>
      <c r="Q400" s="122"/>
      <c r="R400" s="122"/>
      <c r="S400" s="122"/>
      <c r="T400" s="122"/>
      <c r="U400" s="122"/>
      <c r="V400" s="124"/>
      <c r="W400" s="125"/>
      <c r="X400" s="122"/>
      <c r="Y400" s="122"/>
      <c r="Z400" s="122"/>
      <c r="AA400" s="126"/>
      <c r="AB400" s="122"/>
      <c r="AC400" s="122"/>
      <c r="AD400" s="127"/>
      <c r="AE400" s="127"/>
      <c r="AF400" s="127"/>
      <c r="AG400" s="127"/>
      <c r="AH400" s="124"/>
      <c r="AI400" s="127"/>
      <c r="AJ400" s="127"/>
      <c r="AK400" s="126"/>
      <c r="AL400" s="122"/>
      <c r="AM400" s="122"/>
      <c r="AN400" s="122"/>
      <c r="AO400" s="122"/>
      <c r="AP400" s="122"/>
      <c r="AQ400" s="124"/>
    </row>
    <row r="401" spans="1:43" ht="15.75" customHeight="1">
      <c r="A401" s="122"/>
      <c r="B401" s="122"/>
      <c r="C401" s="122"/>
      <c r="D401" s="122"/>
      <c r="E401" s="122"/>
      <c r="F401" s="122"/>
      <c r="G401" s="122"/>
      <c r="H401" s="122"/>
      <c r="I401" s="122"/>
      <c r="J401" s="122"/>
      <c r="K401" s="122"/>
      <c r="L401" s="122"/>
      <c r="M401" s="123"/>
      <c r="N401" s="123"/>
      <c r="O401" s="122"/>
      <c r="P401" s="124"/>
      <c r="Q401" s="122"/>
      <c r="R401" s="122"/>
      <c r="S401" s="122"/>
      <c r="T401" s="122"/>
      <c r="U401" s="122"/>
      <c r="V401" s="124"/>
      <c r="W401" s="125"/>
      <c r="X401" s="122"/>
      <c r="Y401" s="122"/>
      <c r="Z401" s="122"/>
      <c r="AA401" s="126"/>
      <c r="AB401" s="122"/>
      <c r="AC401" s="122"/>
      <c r="AD401" s="127"/>
      <c r="AE401" s="127"/>
      <c r="AF401" s="127"/>
      <c r="AG401" s="127"/>
      <c r="AH401" s="124"/>
      <c r="AI401" s="127"/>
      <c r="AJ401" s="127"/>
      <c r="AK401" s="126"/>
      <c r="AL401" s="122"/>
      <c r="AM401" s="122"/>
      <c r="AN401" s="122"/>
      <c r="AO401" s="122"/>
      <c r="AP401" s="122"/>
      <c r="AQ401" s="124"/>
    </row>
    <row r="402" spans="1:43" ht="15.75" customHeight="1">
      <c r="A402" s="122"/>
      <c r="B402" s="122"/>
      <c r="C402" s="122"/>
      <c r="D402" s="122"/>
      <c r="E402" s="122"/>
      <c r="F402" s="122"/>
      <c r="G402" s="122"/>
      <c r="H402" s="122"/>
      <c r="I402" s="122"/>
      <c r="J402" s="122"/>
      <c r="K402" s="122"/>
      <c r="L402" s="122"/>
      <c r="M402" s="123"/>
      <c r="N402" s="123"/>
      <c r="O402" s="122"/>
      <c r="P402" s="124"/>
      <c r="Q402" s="122"/>
      <c r="R402" s="122"/>
      <c r="S402" s="122"/>
      <c r="T402" s="122"/>
      <c r="U402" s="122"/>
      <c r="V402" s="124"/>
      <c r="W402" s="125"/>
      <c r="X402" s="122"/>
      <c r="Y402" s="122"/>
      <c r="Z402" s="122"/>
      <c r="AA402" s="126"/>
      <c r="AB402" s="122"/>
      <c r="AC402" s="122"/>
      <c r="AD402" s="127"/>
      <c r="AE402" s="127"/>
      <c r="AF402" s="127"/>
      <c r="AG402" s="127"/>
      <c r="AH402" s="124"/>
      <c r="AI402" s="127"/>
      <c r="AJ402" s="127"/>
      <c r="AK402" s="126"/>
      <c r="AL402" s="122"/>
      <c r="AM402" s="122"/>
      <c r="AN402" s="122"/>
      <c r="AO402" s="122"/>
      <c r="AP402" s="122"/>
      <c r="AQ402" s="124"/>
    </row>
    <row r="403" spans="1:43" ht="15.75" customHeight="1">
      <c r="A403" s="122"/>
      <c r="B403" s="122"/>
      <c r="C403" s="122"/>
      <c r="D403" s="122"/>
      <c r="E403" s="122"/>
      <c r="F403" s="122"/>
      <c r="G403" s="122"/>
      <c r="H403" s="122"/>
      <c r="I403" s="122"/>
      <c r="J403" s="122"/>
      <c r="K403" s="122"/>
      <c r="L403" s="122"/>
      <c r="M403" s="123"/>
      <c r="N403" s="123"/>
      <c r="O403" s="122"/>
      <c r="P403" s="124"/>
      <c r="Q403" s="122"/>
      <c r="R403" s="122"/>
      <c r="S403" s="122"/>
      <c r="T403" s="122"/>
      <c r="U403" s="122"/>
      <c r="V403" s="124"/>
      <c r="W403" s="125"/>
      <c r="X403" s="122"/>
      <c r="Y403" s="122"/>
      <c r="Z403" s="122"/>
      <c r="AA403" s="126"/>
      <c r="AB403" s="122"/>
      <c r="AC403" s="122"/>
      <c r="AD403" s="127"/>
      <c r="AE403" s="127"/>
      <c r="AF403" s="127"/>
      <c r="AG403" s="127"/>
      <c r="AH403" s="124"/>
      <c r="AI403" s="127"/>
      <c r="AJ403" s="127"/>
      <c r="AK403" s="126"/>
      <c r="AL403" s="122"/>
      <c r="AM403" s="122"/>
      <c r="AN403" s="122"/>
      <c r="AO403" s="122"/>
      <c r="AP403" s="122"/>
      <c r="AQ403" s="124"/>
    </row>
    <row r="404" spans="1:43" ht="15.75" customHeight="1">
      <c r="A404" s="122"/>
      <c r="B404" s="122"/>
      <c r="C404" s="122"/>
      <c r="D404" s="122"/>
      <c r="E404" s="122"/>
      <c r="F404" s="122"/>
      <c r="G404" s="122"/>
      <c r="H404" s="122"/>
      <c r="I404" s="122"/>
      <c r="J404" s="122"/>
      <c r="K404" s="122"/>
      <c r="L404" s="122"/>
      <c r="M404" s="123"/>
      <c r="N404" s="123"/>
      <c r="O404" s="122"/>
      <c r="P404" s="124"/>
      <c r="Q404" s="122"/>
      <c r="R404" s="122"/>
      <c r="S404" s="122"/>
      <c r="T404" s="122"/>
      <c r="U404" s="122"/>
      <c r="V404" s="124"/>
      <c r="W404" s="125"/>
      <c r="X404" s="122"/>
      <c r="Y404" s="122"/>
      <c r="Z404" s="122"/>
      <c r="AA404" s="126"/>
      <c r="AB404" s="122"/>
      <c r="AC404" s="122"/>
      <c r="AD404" s="127"/>
      <c r="AE404" s="127"/>
      <c r="AF404" s="127"/>
      <c r="AG404" s="127"/>
      <c r="AH404" s="124"/>
      <c r="AI404" s="127"/>
      <c r="AJ404" s="127"/>
      <c r="AK404" s="126"/>
      <c r="AL404" s="122"/>
      <c r="AM404" s="122"/>
      <c r="AN404" s="122"/>
      <c r="AO404" s="122"/>
      <c r="AP404" s="122"/>
      <c r="AQ404" s="124"/>
    </row>
    <row r="405" spans="1:43" ht="15.75" customHeight="1">
      <c r="A405" s="122"/>
      <c r="B405" s="122"/>
      <c r="C405" s="122"/>
      <c r="D405" s="122"/>
      <c r="E405" s="122"/>
      <c r="F405" s="122"/>
      <c r="G405" s="122"/>
      <c r="H405" s="122"/>
      <c r="I405" s="122"/>
      <c r="J405" s="122"/>
      <c r="K405" s="122"/>
      <c r="L405" s="122"/>
      <c r="M405" s="123"/>
      <c r="N405" s="123"/>
      <c r="O405" s="122"/>
      <c r="P405" s="124"/>
      <c r="Q405" s="122"/>
      <c r="R405" s="122"/>
      <c r="S405" s="122"/>
      <c r="T405" s="122"/>
      <c r="U405" s="122"/>
      <c r="V405" s="124"/>
      <c r="W405" s="125"/>
      <c r="X405" s="122"/>
      <c r="Y405" s="122"/>
      <c r="Z405" s="122"/>
      <c r="AA405" s="126"/>
      <c r="AB405" s="122"/>
      <c r="AC405" s="122"/>
      <c r="AD405" s="127"/>
      <c r="AE405" s="127"/>
      <c r="AF405" s="127"/>
      <c r="AG405" s="127"/>
      <c r="AH405" s="124"/>
      <c r="AI405" s="127"/>
      <c r="AJ405" s="127"/>
      <c r="AK405" s="126"/>
      <c r="AL405" s="122"/>
      <c r="AM405" s="122"/>
      <c r="AN405" s="122"/>
      <c r="AO405" s="122"/>
      <c r="AP405" s="122"/>
      <c r="AQ405" s="124"/>
    </row>
    <row r="406" spans="1:43" ht="15.75" customHeight="1">
      <c r="A406" s="122"/>
      <c r="B406" s="122"/>
      <c r="C406" s="122"/>
      <c r="D406" s="122"/>
      <c r="E406" s="122"/>
      <c r="F406" s="122"/>
      <c r="G406" s="122"/>
      <c r="H406" s="122"/>
      <c r="I406" s="122"/>
      <c r="J406" s="122"/>
      <c r="K406" s="122"/>
      <c r="L406" s="122"/>
      <c r="M406" s="123"/>
      <c r="N406" s="123"/>
      <c r="O406" s="122"/>
      <c r="P406" s="124"/>
      <c r="Q406" s="122"/>
      <c r="R406" s="122"/>
      <c r="S406" s="122"/>
      <c r="T406" s="122"/>
      <c r="U406" s="122"/>
      <c r="V406" s="124"/>
      <c r="W406" s="125"/>
      <c r="X406" s="122"/>
      <c r="Y406" s="122"/>
      <c r="Z406" s="122"/>
      <c r="AA406" s="126"/>
      <c r="AB406" s="122"/>
      <c r="AC406" s="122"/>
      <c r="AD406" s="127"/>
      <c r="AE406" s="127"/>
      <c r="AF406" s="127"/>
      <c r="AG406" s="127"/>
      <c r="AH406" s="124"/>
      <c r="AI406" s="127"/>
      <c r="AJ406" s="127"/>
      <c r="AK406" s="126"/>
      <c r="AL406" s="122"/>
      <c r="AM406" s="122"/>
      <c r="AN406" s="122"/>
      <c r="AO406" s="122"/>
      <c r="AP406" s="122"/>
      <c r="AQ406" s="124"/>
    </row>
    <row r="407" spans="1:43" ht="15.75" customHeight="1">
      <c r="A407" s="122"/>
      <c r="B407" s="122"/>
      <c r="C407" s="122"/>
      <c r="D407" s="122"/>
      <c r="E407" s="122"/>
      <c r="F407" s="122"/>
      <c r="G407" s="122"/>
      <c r="H407" s="122"/>
      <c r="I407" s="122"/>
      <c r="J407" s="122"/>
      <c r="K407" s="122"/>
      <c r="L407" s="122"/>
      <c r="M407" s="123"/>
      <c r="N407" s="123"/>
      <c r="O407" s="122"/>
      <c r="P407" s="124"/>
      <c r="Q407" s="122"/>
      <c r="R407" s="122"/>
      <c r="S407" s="122"/>
      <c r="T407" s="122"/>
      <c r="U407" s="122"/>
      <c r="V407" s="124"/>
      <c r="W407" s="125"/>
      <c r="X407" s="122"/>
      <c r="Y407" s="122"/>
      <c r="Z407" s="122"/>
      <c r="AA407" s="126"/>
      <c r="AB407" s="122"/>
      <c r="AC407" s="122"/>
      <c r="AD407" s="127"/>
      <c r="AE407" s="127"/>
      <c r="AF407" s="127"/>
      <c r="AG407" s="127"/>
      <c r="AH407" s="124"/>
      <c r="AI407" s="127"/>
      <c r="AJ407" s="127"/>
      <c r="AK407" s="126"/>
      <c r="AL407" s="122"/>
      <c r="AM407" s="122"/>
      <c r="AN407" s="122"/>
      <c r="AO407" s="122"/>
      <c r="AP407" s="122"/>
      <c r="AQ407" s="124"/>
    </row>
    <row r="408" spans="1:43" ht="15.75" customHeight="1">
      <c r="A408" s="122"/>
      <c r="B408" s="122"/>
      <c r="C408" s="122"/>
      <c r="D408" s="122"/>
      <c r="E408" s="122"/>
      <c r="F408" s="122"/>
      <c r="G408" s="122"/>
      <c r="H408" s="122"/>
      <c r="I408" s="122"/>
      <c r="J408" s="122"/>
      <c r="K408" s="122"/>
      <c r="L408" s="122"/>
      <c r="M408" s="123"/>
      <c r="N408" s="123"/>
      <c r="O408" s="122"/>
      <c r="P408" s="124"/>
      <c r="Q408" s="122"/>
      <c r="R408" s="122"/>
      <c r="S408" s="122"/>
      <c r="T408" s="122"/>
      <c r="U408" s="122"/>
      <c r="V408" s="124"/>
      <c r="W408" s="125"/>
      <c r="X408" s="122"/>
      <c r="Y408" s="122"/>
      <c r="Z408" s="122"/>
      <c r="AA408" s="126"/>
      <c r="AB408" s="122"/>
      <c r="AC408" s="122"/>
      <c r="AD408" s="127"/>
      <c r="AE408" s="127"/>
      <c r="AF408" s="127"/>
      <c r="AG408" s="127"/>
      <c r="AH408" s="124"/>
      <c r="AI408" s="127"/>
      <c r="AJ408" s="127"/>
      <c r="AK408" s="126"/>
      <c r="AL408" s="122"/>
      <c r="AM408" s="122"/>
      <c r="AN408" s="122"/>
      <c r="AO408" s="122"/>
      <c r="AP408" s="122"/>
      <c r="AQ408" s="124"/>
    </row>
    <row r="409" spans="1:43" ht="15.75" customHeight="1">
      <c r="A409" s="122"/>
      <c r="B409" s="122"/>
      <c r="C409" s="122"/>
      <c r="D409" s="122"/>
      <c r="E409" s="122"/>
      <c r="F409" s="122"/>
      <c r="G409" s="122"/>
      <c r="H409" s="122"/>
      <c r="I409" s="122"/>
      <c r="J409" s="122"/>
      <c r="K409" s="122"/>
      <c r="L409" s="122"/>
      <c r="M409" s="123"/>
      <c r="N409" s="123"/>
      <c r="O409" s="122"/>
      <c r="P409" s="124"/>
      <c r="Q409" s="122"/>
      <c r="R409" s="122"/>
      <c r="S409" s="122"/>
      <c r="T409" s="122"/>
      <c r="U409" s="122"/>
      <c r="V409" s="124"/>
      <c r="W409" s="125"/>
      <c r="X409" s="122"/>
      <c r="Y409" s="122"/>
      <c r="Z409" s="122"/>
      <c r="AA409" s="126"/>
      <c r="AB409" s="122"/>
      <c r="AC409" s="122"/>
      <c r="AD409" s="127"/>
      <c r="AE409" s="127"/>
      <c r="AF409" s="127"/>
      <c r="AG409" s="127"/>
      <c r="AH409" s="124"/>
      <c r="AI409" s="127"/>
      <c r="AJ409" s="127"/>
      <c r="AK409" s="126"/>
      <c r="AL409" s="122"/>
      <c r="AM409" s="122"/>
      <c r="AN409" s="122"/>
      <c r="AO409" s="122"/>
      <c r="AP409" s="122"/>
      <c r="AQ409" s="124"/>
    </row>
    <row r="410" spans="1:43" ht="15.75" customHeight="1">
      <c r="A410" s="122"/>
      <c r="B410" s="122"/>
      <c r="C410" s="122"/>
      <c r="D410" s="122"/>
      <c r="E410" s="122"/>
      <c r="F410" s="122"/>
      <c r="G410" s="122"/>
      <c r="H410" s="122"/>
      <c r="I410" s="122"/>
      <c r="J410" s="122"/>
      <c r="K410" s="122"/>
      <c r="L410" s="122"/>
      <c r="M410" s="123"/>
      <c r="N410" s="123"/>
      <c r="O410" s="122"/>
      <c r="P410" s="124"/>
      <c r="Q410" s="122"/>
      <c r="R410" s="122"/>
      <c r="S410" s="122"/>
      <c r="T410" s="122"/>
      <c r="U410" s="122"/>
      <c r="V410" s="124"/>
      <c r="W410" s="125"/>
      <c r="X410" s="122"/>
      <c r="Y410" s="122"/>
      <c r="Z410" s="122"/>
      <c r="AA410" s="126"/>
      <c r="AB410" s="122"/>
      <c r="AC410" s="122"/>
      <c r="AD410" s="127"/>
      <c r="AE410" s="127"/>
      <c r="AF410" s="127"/>
      <c r="AG410" s="127"/>
      <c r="AH410" s="124"/>
      <c r="AI410" s="127"/>
      <c r="AJ410" s="127"/>
      <c r="AK410" s="126"/>
      <c r="AL410" s="122"/>
      <c r="AM410" s="122"/>
      <c r="AN410" s="122"/>
      <c r="AO410" s="122"/>
      <c r="AP410" s="122"/>
      <c r="AQ410" s="124"/>
    </row>
    <row r="411" spans="1:43" ht="15.75" customHeight="1">
      <c r="A411" s="122"/>
      <c r="B411" s="122"/>
      <c r="C411" s="122"/>
      <c r="D411" s="122"/>
      <c r="E411" s="122"/>
      <c r="F411" s="122"/>
      <c r="G411" s="122"/>
      <c r="H411" s="122"/>
      <c r="I411" s="122"/>
      <c r="J411" s="122"/>
      <c r="K411" s="122"/>
      <c r="L411" s="122"/>
      <c r="M411" s="123"/>
      <c r="N411" s="123"/>
      <c r="O411" s="122"/>
      <c r="P411" s="124"/>
      <c r="Q411" s="122"/>
      <c r="R411" s="122"/>
      <c r="S411" s="122"/>
      <c r="T411" s="122"/>
      <c r="U411" s="122"/>
      <c r="V411" s="124"/>
      <c r="W411" s="125"/>
      <c r="X411" s="122"/>
      <c r="Y411" s="122"/>
      <c r="Z411" s="122"/>
      <c r="AA411" s="126"/>
      <c r="AB411" s="122"/>
      <c r="AC411" s="122"/>
      <c r="AD411" s="127"/>
      <c r="AE411" s="127"/>
      <c r="AF411" s="127"/>
      <c r="AG411" s="127"/>
      <c r="AH411" s="124"/>
      <c r="AI411" s="127"/>
      <c r="AJ411" s="127"/>
      <c r="AK411" s="126"/>
      <c r="AL411" s="122"/>
      <c r="AM411" s="122"/>
      <c r="AN411" s="122"/>
      <c r="AO411" s="122"/>
      <c r="AP411" s="122"/>
      <c r="AQ411" s="124"/>
    </row>
    <row r="412" spans="1:43" ht="15.75" customHeight="1">
      <c r="A412" s="122"/>
      <c r="B412" s="122"/>
      <c r="C412" s="122"/>
      <c r="D412" s="122"/>
      <c r="E412" s="122"/>
      <c r="F412" s="122"/>
      <c r="G412" s="122"/>
      <c r="H412" s="122"/>
      <c r="I412" s="122"/>
      <c r="J412" s="122"/>
      <c r="K412" s="122"/>
      <c r="L412" s="122"/>
      <c r="M412" s="123"/>
      <c r="N412" s="123"/>
      <c r="O412" s="122"/>
      <c r="P412" s="124"/>
      <c r="Q412" s="122"/>
      <c r="R412" s="122"/>
      <c r="S412" s="122"/>
      <c r="T412" s="122"/>
      <c r="U412" s="122"/>
      <c r="V412" s="124"/>
      <c r="W412" s="125"/>
      <c r="X412" s="122"/>
      <c r="Y412" s="122"/>
      <c r="Z412" s="122"/>
      <c r="AA412" s="126"/>
      <c r="AB412" s="122"/>
      <c r="AC412" s="122"/>
      <c r="AD412" s="127"/>
      <c r="AE412" s="127"/>
      <c r="AF412" s="127"/>
      <c r="AG412" s="127"/>
      <c r="AH412" s="124"/>
      <c r="AI412" s="127"/>
      <c r="AJ412" s="127"/>
      <c r="AK412" s="126"/>
      <c r="AL412" s="122"/>
      <c r="AM412" s="122"/>
      <c r="AN412" s="122"/>
      <c r="AO412" s="122"/>
      <c r="AP412" s="122"/>
      <c r="AQ412" s="124"/>
    </row>
    <row r="413" spans="1:43" ht="15.75" customHeight="1">
      <c r="A413" s="122"/>
      <c r="B413" s="122"/>
      <c r="C413" s="122"/>
      <c r="D413" s="122"/>
      <c r="E413" s="122"/>
      <c r="F413" s="122"/>
      <c r="G413" s="122"/>
      <c r="H413" s="122"/>
      <c r="I413" s="122"/>
      <c r="J413" s="122"/>
      <c r="K413" s="122"/>
      <c r="L413" s="122"/>
      <c r="M413" s="123"/>
      <c r="N413" s="123"/>
      <c r="O413" s="122"/>
      <c r="P413" s="124"/>
      <c r="Q413" s="122"/>
      <c r="R413" s="122"/>
      <c r="S413" s="122"/>
      <c r="T413" s="122"/>
      <c r="U413" s="122"/>
      <c r="V413" s="124"/>
      <c r="W413" s="125"/>
      <c r="X413" s="122"/>
      <c r="Y413" s="122"/>
      <c r="Z413" s="122"/>
      <c r="AA413" s="126"/>
      <c r="AB413" s="122"/>
      <c r="AC413" s="122"/>
      <c r="AD413" s="127"/>
      <c r="AE413" s="127"/>
      <c r="AF413" s="127"/>
      <c r="AG413" s="127"/>
      <c r="AH413" s="124"/>
      <c r="AI413" s="127"/>
      <c r="AJ413" s="127"/>
      <c r="AK413" s="126"/>
      <c r="AL413" s="122"/>
      <c r="AM413" s="122"/>
      <c r="AN413" s="122"/>
      <c r="AO413" s="122"/>
      <c r="AP413" s="122"/>
      <c r="AQ413" s="124"/>
    </row>
    <row r="414" spans="1:43" ht="15.75" customHeight="1">
      <c r="A414" s="122"/>
      <c r="B414" s="122"/>
      <c r="C414" s="122"/>
      <c r="D414" s="122"/>
      <c r="E414" s="122"/>
      <c r="F414" s="122"/>
      <c r="G414" s="122"/>
      <c r="H414" s="122"/>
      <c r="I414" s="122"/>
      <c r="J414" s="122"/>
      <c r="K414" s="122"/>
      <c r="L414" s="122"/>
      <c r="M414" s="123"/>
      <c r="N414" s="123"/>
      <c r="O414" s="122"/>
      <c r="P414" s="124"/>
      <c r="Q414" s="122"/>
      <c r="R414" s="122"/>
      <c r="S414" s="122"/>
      <c r="T414" s="122"/>
      <c r="U414" s="122"/>
      <c r="V414" s="124"/>
      <c r="W414" s="125"/>
      <c r="X414" s="122"/>
      <c r="Y414" s="122"/>
      <c r="Z414" s="122"/>
      <c r="AA414" s="126"/>
      <c r="AB414" s="122"/>
      <c r="AC414" s="122"/>
      <c r="AD414" s="127"/>
      <c r="AE414" s="127"/>
      <c r="AF414" s="127"/>
      <c r="AG414" s="127"/>
      <c r="AH414" s="124"/>
      <c r="AI414" s="127"/>
      <c r="AJ414" s="127"/>
      <c r="AK414" s="126"/>
      <c r="AL414" s="122"/>
      <c r="AM414" s="122"/>
      <c r="AN414" s="122"/>
      <c r="AO414" s="122"/>
      <c r="AP414" s="122"/>
      <c r="AQ414" s="124"/>
    </row>
    <row r="415" spans="1:43" ht="15.75" customHeight="1">
      <c r="A415" s="122"/>
      <c r="B415" s="122"/>
      <c r="C415" s="122"/>
      <c r="D415" s="122"/>
      <c r="E415" s="122"/>
      <c r="F415" s="122"/>
      <c r="G415" s="122"/>
      <c r="H415" s="122"/>
      <c r="I415" s="122"/>
      <c r="J415" s="122"/>
      <c r="K415" s="122"/>
      <c r="L415" s="122"/>
      <c r="M415" s="123"/>
      <c r="N415" s="123"/>
      <c r="O415" s="122"/>
      <c r="P415" s="124"/>
      <c r="Q415" s="122"/>
      <c r="R415" s="122"/>
      <c r="S415" s="122"/>
      <c r="T415" s="122"/>
      <c r="U415" s="122"/>
      <c r="V415" s="124"/>
      <c r="W415" s="125"/>
      <c r="X415" s="122"/>
      <c r="Y415" s="122"/>
      <c r="Z415" s="122"/>
      <c r="AA415" s="126"/>
      <c r="AB415" s="122"/>
      <c r="AC415" s="122"/>
      <c r="AD415" s="127"/>
      <c r="AE415" s="127"/>
      <c r="AF415" s="127"/>
      <c r="AG415" s="127"/>
      <c r="AH415" s="124"/>
      <c r="AI415" s="127"/>
      <c r="AJ415" s="127"/>
      <c r="AK415" s="126"/>
      <c r="AL415" s="122"/>
      <c r="AM415" s="122"/>
      <c r="AN415" s="122"/>
      <c r="AO415" s="122"/>
      <c r="AP415" s="122"/>
      <c r="AQ415" s="124"/>
    </row>
    <row r="416" spans="1:43" ht="15.75" customHeight="1">
      <c r="A416" s="122"/>
      <c r="B416" s="122"/>
      <c r="C416" s="122"/>
      <c r="D416" s="122"/>
      <c r="E416" s="122"/>
      <c r="F416" s="122"/>
      <c r="G416" s="122"/>
      <c r="H416" s="122"/>
      <c r="I416" s="122"/>
      <c r="J416" s="122"/>
      <c r="K416" s="122"/>
      <c r="L416" s="122"/>
      <c r="M416" s="123"/>
      <c r="N416" s="123"/>
      <c r="O416" s="122"/>
      <c r="P416" s="124"/>
      <c r="Q416" s="122"/>
      <c r="R416" s="122"/>
      <c r="S416" s="122"/>
      <c r="T416" s="122"/>
      <c r="U416" s="122"/>
      <c r="V416" s="124"/>
      <c r="W416" s="125"/>
      <c r="X416" s="122"/>
      <c r="Y416" s="122"/>
      <c r="Z416" s="122"/>
      <c r="AA416" s="126"/>
      <c r="AB416" s="122"/>
      <c r="AC416" s="122"/>
      <c r="AD416" s="127"/>
      <c r="AE416" s="127"/>
      <c r="AF416" s="127"/>
      <c r="AG416" s="127"/>
      <c r="AH416" s="124"/>
      <c r="AI416" s="127"/>
      <c r="AJ416" s="127"/>
      <c r="AK416" s="126"/>
      <c r="AL416" s="122"/>
      <c r="AM416" s="122"/>
      <c r="AN416" s="122"/>
      <c r="AO416" s="122"/>
      <c r="AP416" s="122"/>
      <c r="AQ416" s="124"/>
    </row>
    <row r="417" spans="1:43" ht="15.75" customHeight="1">
      <c r="A417" s="122"/>
      <c r="B417" s="122"/>
      <c r="C417" s="122"/>
      <c r="D417" s="122"/>
      <c r="E417" s="122"/>
      <c r="F417" s="122"/>
      <c r="G417" s="122"/>
      <c r="H417" s="122"/>
      <c r="I417" s="122"/>
      <c r="J417" s="122"/>
      <c r="K417" s="122"/>
      <c r="L417" s="122"/>
      <c r="M417" s="123"/>
      <c r="N417" s="123"/>
      <c r="O417" s="122"/>
      <c r="P417" s="124"/>
      <c r="Q417" s="122"/>
      <c r="R417" s="122"/>
      <c r="S417" s="122"/>
      <c r="T417" s="122"/>
      <c r="U417" s="122"/>
      <c r="V417" s="124"/>
      <c r="W417" s="125"/>
      <c r="X417" s="122"/>
      <c r="Y417" s="122"/>
      <c r="Z417" s="122"/>
      <c r="AA417" s="126"/>
      <c r="AB417" s="122"/>
      <c r="AC417" s="122"/>
      <c r="AD417" s="127"/>
      <c r="AE417" s="127"/>
      <c r="AF417" s="127"/>
      <c r="AG417" s="127"/>
      <c r="AH417" s="124"/>
      <c r="AI417" s="127"/>
      <c r="AJ417" s="127"/>
      <c r="AK417" s="126"/>
      <c r="AL417" s="122"/>
      <c r="AM417" s="122"/>
      <c r="AN417" s="122"/>
      <c r="AO417" s="122"/>
      <c r="AP417" s="122"/>
      <c r="AQ417" s="124"/>
    </row>
    <row r="418" spans="1:43" ht="15.75" customHeight="1">
      <c r="A418" s="122"/>
      <c r="B418" s="122"/>
      <c r="C418" s="122"/>
      <c r="D418" s="122"/>
      <c r="E418" s="122"/>
      <c r="F418" s="122"/>
      <c r="G418" s="122"/>
      <c r="H418" s="122"/>
      <c r="I418" s="122"/>
      <c r="J418" s="122"/>
      <c r="K418" s="122"/>
      <c r="L418" s="122"/>
      <c r="M418" s="123"/>
      <c r="N418" s="123"/>
      <c r="O418" s="122"/>
      <c r="P418" s="124"/>
      <c r="Q418" s="122"/>
      <c r="R418" s="122"/>
      <c r="S418" s="122"/>
      <c r="T418" s="122"/>
      <c r="U418" s="122"/>
      <c r="V418" s="124"/>
      <c r="W418" s="125"/>
      <c r="X418" s="122"/>
      <c r="Y418" s="122"/>
      <c r="Z418" s="122"/>
      <c r="AA418" s="126"/>
      <c r="AB418" s="122"/>
      <c r="AC418" s="122"/>
      <c r="AD418" s="127"/>
      <c r="AE418" s="127"/>
      <c r="AF418" s="127"/>
      <c r="AG418" s="127"/>
      <c r="AH418" s="124"/>
      <c r="AI418" s="127"/>
      <c r="AJ418" s="127"/>
      <c r="AK418" s="126"/>
      <c r="AL418" s="122"/>
      <c r="AM418" s="122"/>
      <c r="AN418" s="122"/>
      <c r="AO418" s="122"/>
      <c r="AP418" s="122"/>
      <c r="AQ418" s="124"/>
    </row>
    <row r="419" spans="1:43" ht="15.75" customHeight="1">
      <c r="A419" s="122"/>
      <c r="B419" s="122"/>
      <c r="C419" s="122"/>
      <c r="D419" s="122"/>
      <c r="E419" s="122"/>
      <c r="F419" s="122"/>
      <c r="G419" s="122"/>
      <c r="H419" s="122"/>
      <c r="I419" s="122"/>
      <c r="J419" s="122"/>
      <c r="K419" s="122"/>
      <c r="L419" s="122"/>
      <c r="M419" s="123"/>
      <c r="N419" s="123"/>
      <c r="O419" s="122"/>
      <c r="P419" s="124"/>
      <c r="Q419" s="122"/>
      <c r="R419" s="122"/>
      <c r="S419" s="122"/>
      <c r="T419" s="122"/>
      <c r="U419" s="122"/>
      <c r="V419" s="124"/>
      <c r="W419" s="125"/>
      <c r="X419" s="122"/>
      <c r="Y419" s="122"/>
      <c r="Z419" s="122"/>
      <c r="AA419" s="126"/>
      <c r="AB419" s="122"/>
      <c r="AC419" s="122"/>
      <c r="AD419" s="127"/>
      <c r="AE419" s="127"/>
      <c r="AF419" s="127"/>
      <c r="AG419" s="127"/>
      <c r="AH419" s="124"/>
      <c r="AI419" s="127"/>
      <c r="AJ419" s="127"/>
      <c r="AK419" s="126"/>
      <c r="AL419" s="122"/>
      <c r="AM419" s="122"/>
      <c r="AN419" s="122"/>
      <c r="AO419" s="122"/>
      <c r="AP419" s="122"/>
      <c r="AQ419" s="124"/>
    </row>
    <row r="420" spans="1:43" ht="15.75" customHeight="1">
      <c r="A420" s="122"/>
      <c r="B420" s="122"/>
      <c r="C420" s="122"/>
      <c r="D420" s="122"/>
      <c r="E420" s="122"/>
      <c r="F420" s="122"/>
      <c r="G420" s="122"/>
      <c r="H420" s="122"/>
      <c r="I420" s="122"/>
      <c r="J420" s="122"/>
      <c r="K420" s="122"/>
      <c r="L420" s="122"/>
      <c r="M420" s="123"/>
      <c r="N420" s="123"/>
      <c r="O420" s="122"/>
      <c r="P420" s="124"/>
      <c r="Q420" s="122"/>
      <c r="R420" s="122"/>
      <c r="S420" s="122"/>
      <c r="T420" s="122"/>
      <c r="U420" s="122"/>
      <c r="V420" s="124"/>
      <c r="W420" s="125"/>
      <c r="X420" s="122"/>
      <c r="Y420" s="122"/>
      <c r="Z420" s="122"/>
      <c r="AA420" s="126"/>
      <c r="AB420" s="122"/>
      <c r="AC420" s="122"/>
      <c r="AD420" s="127"/>
      <c r="AE420" s="127"/>
      <c r="AF420" s="127"/>
      <c r="AG420" s="127"/>
      <c r="AH420" s="124"/>
      <c r="AI420" s="127"/>
      <c r="AJ420" s="127"/>
      <c r="AK420" s="126"/>
      <c r="AL420" s="122"/>
      <c r="AM420" s="122"/>
      <c r="AN420" s="122"/>
      <c r="AO420" s="122"/>
      <c r="AP420" s="122"/>
      <c r="AQ420" s="124"/>
    </row>
    <row r="421" spans="1:43" ht="15.75" customHeight="1">
      <c r="A421" s="122"/>
      <c r="B421" s="122"/>
      <c r="C421" s="122"/>
      <c r="D421" s="122"/>
      <c r="E421" s="122"/>
      <c r="F421" s="122"/>
      <c r="G421" s="122"/>
      <c r="H421" s="122"/>
      <c r="I421" s="122"/>
      <c r="J421" s="122"/>
      <c r="K421" s="122"/>
      <c r="L421" s="122"/>
      <c r="M421" s="123"/>
      <c r="N421" s="123"/>
      <c r="O421" s="122"/>
      <c r="P421" s="124"/>
      <c r="Q421" s="122"/>
      <c r="R421" s="122"/>
      <c r="S421" s="122"/>
      <c r="T421" s="122"/>
      <c r="U421" s="122"/>
      <c r="V421" s="124"/>
      <c r="W421" s="125"/>
      <c r="X421" s="122"/>
      <c r="Y421" s="122"/>
      <c r="Z421" s="122"/>
      <c r="AA421" s="126"/>
      <c r="AB421" s="122"/>
      <c r="AC421" s="122"/>
      <c r="AD421" s="127"/>
      <c r="AE421" s="127"/>
      <c r="AF421" s="127"/>
      <c r="AG421" s="127"/>
      <c r="AH421" s="124"/>
      <c r="AI421" s="127"/>
      <c r="AJ421" s="127"/>
      <c r="AK421" s="126"/>
      <c r="AL421" s="122"/>
      <c r="AM421" s="122"/>
      <c r="AN421" s="122"/>
      <c r="AO421" s="122"/>
      <c r="AP421" s="122"/>
      <c r="AQ421" s="124"/>
    </row>
    <row r="422" spans="1:43" ht="15.75" customHeight="1">
      <c r="A422" s="122"/>
      <c r="B422" s="122"/>
      <c r="C422" s="122"/>
      <c r="D422" s="122"/>
      <c r="E422" s="122"/>
      <c r="F422" s="122"/>
      <c r="G422" s="122"/>
      <c r="H422" s="122"/>
      <c r="I422" s="122"/>
      <c r="J422" s="122"/>
      <c r="K422" s="122"/>
      <c r="L422" s="122"/>
      <c r="M422" s="123"/>
      <c r="N422" s="123"/>
      <c r="O422" s="122"/>
      <c r="P422" s="124"/>
      <c r="Q422" s="122"/>
      <c r="R422" s="122"/>
      <c r="S422" s="122"/>
      <c r="T422" s="122"/>
      <c r="U422" s="122"/>
      <c r="V422" s="124"/>
      <c r="W422" s="125"/>
      <c r="X422" s="122"/>
      <c r="Y422" s="122"/>
      <c r="Z422" s="122"/>
      <c r="AA422" s="126"/>
      <c r="AB422" s="122"/>
      <c r="AC422" s="122"/>
      <c r="AD422" s="127"/>
      <c r="AE422" s="127"/>
      <c r="AF422" s="127"/>
      <c r="AG422" s="127"/>
      <c r="AH422" s="124"/>
      <c r="AI422" s="127"/>
      <c r="AJ422" s="127"/>
      <c r="AK422" s="126"/>
      <c r="AL422" s="122"/>
      <c r="AM422" s="122"/>
      <c r="AN422" s="122"/>
      <c r="AO422" s="122"/>
      <c r="AP422" s="122"/>
      <c r="AQ422" s="124"/>
    </row>
    <row r="423" spans="1:43" ht="15.75" customHeight="1">
      <c r="A423" s="122"/>
      <c r="B423" s="122"/>
      <c r="C423" s="122"/>
      <c r="D423" s="122"/>
      <c r="E423" s="122"/>
      <c r="F423" s="122"/>
      <c r="G423" s="122"/>
      <c r="H423" s="122"/>
      <c r="I423" s="122"/>
      <c r="J423" s="122"/>
      <c r="K423" s="122"/>
      <c r="L423" s="122"/>
      <c r="M423" s="123"/>
      <c r="N423" s="123"/>
      <c r="O423" s="122"/>
      <c r="P423" s="124"/>
      <c r="Q423" s="122"/>
      <c r="R423" s="122"/>
      <c r="S423" s="122"/>
      <c r="T423" s="122"/>
      <c r="U423" s="122"/>
      <c r="V423" s="124"/>
      <c r="W423" s="125"/>
      <c r="X423" s="122"/>
      <c r="Y423" s="122"/>
      <c r="Z423" s="122"/>
      <c r="AA423" s="126"/>
      <c r="AB423" s="122"/>
      <c r="AC423" s="122"/>
      <c r="AD423" s="127"/>
      <c r="AE423" s="127"/>
      <c r="AF423" s="127"/>
      <c r="AG423" s="127"/>
      <c r="AH423" s="124"/>
      <c r="AI423" s="127"/>
      <c r="AJ423" s="127"/>
      <c r="AK423" s="126"/>
      <c r="AL423" s="122"/>
      <c r="AM423" s="122"/>
      <c r="AN423" s="122"/>
      <c r="AO423" s="122"/>
      <c r="AP423" s="122"/>
      <c r="AQ423" s="124"/>
    </row>
    <row r="424" spans="1:43" ht="15.75" customHeight="1">
      <c r="A424" s="122"/>
      <c r="B424" s="122"/>
      <c r="C424" s="122"/>
      <c r="D424" s="122"/>
      <c r="E424" s="122"/>
      <c r="F424" s="122"/>
      <c r="G424" s="122"/>
      <c r="H424" s="122"/>
      <c r="I424" s="122"/>
      <c r="J424" s="122"/>
      <c r="K424" s="122"/>
      <c r="L424" s="122"/>
      <c r="M424" s="123"/>
      <c r="N424" s="123"/>
      <c r="O424" s="122"/>
      <c r="P424" s="124"/>
      <c r="Q424" s="122"/>
      <c r="R424" s="122"/>
      <c r="S424" s="122"/>
      <c r="T424" s="122"/>
      <c r="U424" s="122"/>
      <c r="V424" s="124"/>
      <c r="W424" s="125"/>
      <c r="X424" s="122"/>
      <c r="Y424" s="122"/>
      <c r="Z424" s="122"/>
      <c r="AA424" s="126"/>
      <c r="AB424" s="122"/>
      <c r="AC424" s="122"/>
      <c r="AD424" s="127"/>
      <c r="AE424" s="127"/>
      <c r="AF424" s="127"/>
      <c r="AG424" s="127"/>
      <c r="AH424" s="124"/>
      <c r="AI424" s="127"/>
      <c r="AJ424" s="127"/>
      <c r="AK424" s="126"/>
      <c r="AL424" s="122"/>
      <c r="AM424" s="122"/>
      <c r="AN424" s="122"/>
      <c r="AO424" s="122"/>
      <c r="AP424" s="122"/>
      <c r="AQ424" s="124"/>
    </row>
    <row r="425" spans="1:43" ht="15.75" customHeight="1">
      <c r="A425" s="122"/>
      <c r="B425" s="122"/>
      <c r="C425" s="122"/>
      <c r="D425" s="122"/>
      <c r="E425" s="122"/>
      <c r="F425" s="122"/>
      <c r="G425" s="122"/>
      <c r="H425" s="122"/>
      <c r="I425" s="122"/>
      <c r="J425" s="122"/>
      <c r="K425" s="122"/>
      <c r="L425" s="122"/>
      <c r="M425" s="123"/>
      <c r="N425" s="123"/>
      <c r="O425" s="122"/>
      <c r="P425" s="124"/>
      <c r="Q425" s="122"/>
      <c r="R425" s="122"/>
      <c r="S425" s="122"/>
      <c r="T425" s="122"/>
      <c r="U425" s="122"/>
      <c r="V425" s="124"/>
      <c r="W425" s="125"/>
      <c r="X425" s="122"/>
      <c r="Y425" s="122"/>
      <c r="Z425" s="122"/>
      <c r="AA425" s="126"/>
      <c r="AB425" s="122"/>
      <c r="AC425" s="122"/>
      <c r="AD425" s="127"/>
      <c r="AE425" s="127"/>
      <c r="AF425" s="127"/>
      <c r="AG425" s="127"/>
      <c r="AH425" s="124"/>
      <c r="AI425" s="127"/>
      <c r="AJ425" s="127"/>
      <c r="AK425" s="126"/>
      <c r="AL425" s="122"/>
      <c r="AM425" s="122"/>
      <c r="AN425" s="122"/>
      <c r="AO425" s="122"/>
      <c r="AP425" s="122"/>
      <c r="AQ425" s="124"/>
    </row>
    <row r="426" spans="1:43" ht="15.75" customHeight="1">
      <c r="A426" s="122"/>
      <c r="B426" s="122"/>
      <c r="C426" s="122"/>
      <c r="D426" s="122"/>
      <c r="E426" s="122"/>
      <c r="F426" s="122"/>
      <c r="G426" s="122"/>
      <c r="H426" s="122"/>
      <c r="I426" s="122"/>
      <c r="J426" s="122"/>
      <c r="K426" s="122"/>
      <c r="L426" s="122"/>
      <c r="M426" s="123"/>
      <c r="N426" s="123"/>
      <c r="O426" s="122"/>
      <c r="P426" s="124"/>
      <c r="Q426" s="122"/>
      <c r="R426" s="122"/>
      <c r="S426" s="122"/>
      <c r="T426" s="122"/>
      <c r="U426" s="122"/>
      <c r="V426" s="124"/>
      <c r="W426" s="125"/>
      <c r="X426" s="122"/>
      <c r="Y426" s="122"/>
      <c r="Z426" s="122"/>
      <c r="AA426" s="126"/>
      <c r="AB426" s="122"/>
      <c r="AC426" s="122"/>
      <c r="AD426" s="127"/>
      <c r="AE426" s="127"/>
      <c r="AF426" s="127"/>
      <c r="AG426" s="127"/>
      <c r="AH426" s="124"/>
      <c r="AI426" s="127"/>
      <c r="AJ426" s="127"/>
      <c r="AK426" s="126"/>
      <c r="AL426" s="122"/>
      <c r="AM426" s="122"/>
      <c r="AN426" s="122"/>
      <c r="AO426" s="122"/>
      <c r="AP426" s="122"/>
      <c r="AQ426" s="124"/>
    </row>
    <row r="427" spans="1:43" ht="15.75" customHeight="1">
      <c r="A427" s="122"/>
      <c r="B427" s="122"/>
      <c r="C427" s="122"/>
      <c r="D427" s="122"/>
      <c r="E427" s="122"/>
      <c r="F427" s="122"/>
      <c r="G427" s="122"/>
      <c r="H427" s="122"/>
      <c r="I427" s="122"/>
      <c r="J427" s="122"/>
      <c r="K427" s="122"/>
      <c r="L427" s="122"/>
      <c r="M427" s="123"/>
      <c r="N427" s="123"/>
      <c r="O427" s="122"/>
      <c r="P427" s="124"/>
      <c r="Q427" s="122"/>
      <c r="R427" s="122"/>
      <c r="S427" s="122"/>
      <c r="T427" s="122"/>
      <c r="U427" s="122"/>
      <c r="V427" s="124"/>
      <c r="W427" s="125"/>
      <c r="X427" s="122"/>
      <c r="Y427" s="122"/>
      <c r="Z427" s="122"/>
      <c r="AA427" s="126"/>
      <c r="AB427" s="122"/>
      <c r="AC427" s="122"/>
      <c r="AD427" s="127"/>
      <c r="AE427" s="127"/>
      <c r="AF427" s="127"/>
      <c r="AG427" s="127"/>
      <c r="AH427" s="124"/>
      <c r="AI427" s="127"/>
      <c r="AJ427" s="127"/>
      <c r="AK427" s="126"/>
      <c r="AL427" s="122"/>
      <c r="AM427" s="122"/>
      <c r="AN427" s="122"/>
      <c r="AO427" s="122"/>
      <c r="AP427" s="122"/>
      <c r="AQ427" s="124"/>
    </row>
    <row r="428" spans="1:43" ht="15.75" customHeight="1">
      <c r="A428" s="122"/>
      <c r="B428" s="122"/>
      <c r="C428" s="122"/>
      <c r="D428" s="122"/>
      <c r="E428" s="122"/>
      <c r="F428" s="122"/>
      <c r="G428" s="122"/>
      <c r="H428" s="122"/>
      <c r="I428" s="122"/>
      <c r="J428" s="122"/>
      <c r="K428" s="122"/>
      <c r="L428" s="122"/>
      <c r="M428" s="123"/>
      <c r="N428" s="123"/>
      <c r="O428" s="122"/>
      <c r="P428" s="124"/>
      <c r="Q428" s="122"/>
      <c r="R428" s="122"/>
      <c r="S428" s="122"/>
      <c r="T428" s="122"/>
      <c r="U428" s="122"/>
      <c r="V428" s="124"/>
      <c r="W428" s="125"/>
      <c r="X428" s="122"/>
      <c r="Y428" s="122"/>
      <c r="Z428" s="122"/>
      <c r="AA428" s="126"/>
      <c r="AB428" s="122"/>
      <c r="AC428" s="122"/>
      <c r="AD428" s="127"/>
      <c r="AE428" s="127"/>
      <c r="AF428" s="127"/>
      <c r="AG428" s="127"/>
      <c r="AH428" s="124"/>
      <c r="AI428" s="127"/>
      <c r="AJ428" s="127"/>
      <c r="AK428" s="126"/>
      <c r="AL428" s="122"/>
      <c r="AM428" s="122"/>
      <c r="AN428" s="122"/>
      <c r="AO428" s="122"/>
      <c r="AP428" s="122"/>
      <c r="AQ428" s="124"/>
    </row>
    <row r="429" spans="1:43" ht="15.75" customHeight="1">
      <c r="A429" s="122"/>
      <c r="B429" s="122"/>
      <c r="C429" s="122"/>
      <c r="D429" s="122"/>
      <c r="E429" s="122"/>
      <c r="F429" s="122"/>
      <c r="G429" s="122"/>
      <c r="H429" s="122"/>
      <c r="I429" s="122"/>
      <c r="J429" s="122"/>
      <c r="K429" s="122"/>
      <c r="L429" s="122"/>
      <c r="M429" s="123"/>
      <c r="N429" s="123"/>
      <c r="O429" s="122"/>
      <c r="P429" s="124"/>
      <c r="Q429" s="122"/>
      <c r="R429" s="122"/>
      <c r="S429" s="122"/>
      <c r="T429" s="122"/>
      <c r="U429" s="122"/>
      <c r="V429" s="124"/>
      <c r="W429" s="125"/>
      <c r="X429" s="122"/>
      <c r="Y429" s="122"/>
      <c r="Z429" s="122"/>
      <c r="AA429" s="126"/>
      <c r="AB429" s="122"/>
      <c r="AC429" s="122"/>
      <c r="AD429" s="127"/>
      <c r="AE429" s="127"/>
      <c r="AF429" s="127"/>
      <c r="AG429" s="127"/>
      <c r="AH429" s="124"/>
      <c r="AI429" s="127"/>
      <c r="AJ429" s="127"/>
      <c r="AK429" s="126"/>
      <c r="AL429" s="122"/>
      <c r="AM429" s="122"/>
      <c r="AN429" s="122"/>
      <c r="AO429" s="122"/>
      <c r="AP429" s="122"/>
      <c r="AQ429" s="124"/>
    </row>
    <row r="430" spans="1:43" ht="15.75" customHeight="1">
      <c r="A430" s="122"/>
      <c r="B430" s="122"/>
      <c r="C430" s="122"/>
      <c r="D430" s="122"/>
      <c r="E430" s="122"/>
      <c r="F430" s="122"/>
      <c r="G430" s="122"/>
      <c r="H430" s="122"/>
      <c r="I430" s="122"/>
      <c r="J430" s="122"/>
      <c r="K430" s="122"/>
      <c r="L430" s="122"/>
      <c r="M430" s="123"/>
      <c r="N430" s="123"/>
      <c r="O430" s="122"/>
      <c r="P430" s="124"/>
      <c r="Q430" s="122"/>
      <c r="R430" s="122"/>
      <c r="S430" s="122"/>
      <c r="T430" s="122"/>
      <c r="U430" s="122"/>
      <c r="V430" s="124"/>
      <c r="W430" s="125"/>
      <c r="X430" s="122"/>
      <c r="Y430" s="122"/>
      <c r="Z430" s="122"/>
      <c r="AA430" s="126"/>
      <c r="AB430" s="122"/>
      <c r="AC430" s="122"/>
      <c r="AD430" s="127"/>
      <c r="AE430" s="127"/>
      <c r="AF430" s="127"/>
      <c r="AG430" s="127"/>
      <c r="AH430" s="124"/>
      <c r="AI430" s="127"/>
      <c r="AJ430" s="127"/>
      <c r="AK430" s="126"/>
      <c r="AL430" s="122"/>
      <c r="AM430" s="122"/>
      <c r="AN430" s="122"/>
      <c r="AO430" s="122"/>
      <c r="AP430" s="122"/>
      <c r="AQ430" s="124"/>
    </row>
    <row r="431" spans="1:43" ht="15.75" customHeight="1">
      <c r="A431" s="122"/>
      <c r="B431" s="122"/>
      <c r="C431" s="122"/>
      <c r="D431" s="122"/>
      <c r="E431" s="122"/>
      <c r="F431" s="122"/>
      <c r="G431" s="122"/>
      <c r="H431" s="122"/>
      <c r="I431" s="122"/>
      <c r="J431" s="122"/>
      <c r="K431" s="122"/>
      <c r="L431" s="122"/>
      <c r="M431" s="123"/>
      <c r="N431" s="123"/>
      <c r="O431" s="122"/>
      <c r="P431" s="124"/>
      <c r="Q431" s="122"/>
      <c r="R431" s="122"/>
      <c r="S431" s="122"/>
      <c r="T431" s="122"/>
      <c r="U431" s="122"/>
      <c r="V431" s="124"/>
      <c r="W431" s="125"/>
      <c r="X431" s="122"/>
      <c r="Y431" s="122"/>
      <c r="Z431" s="122"/>
      <c r="AA431" s="126"/>
      <c r="AB431" s="122"/>
      <c r="AC431" s="122"/>
      <c r="AD431" s="127"/>
      <c r="AE431" s="127"/>
      <c r="AF431" s="127"/>
      <c r="AG431" s="127"/>
      <c r="AH431" s="124"/>
      <c r="AI431" s="127"/>
      <c r="AJ431" s="127"/>
      <c r="AK431" s="126"/>
      <c r="AL431" s="122"/>
      <c r="AM431" s="122"/>
      <c r="AN431" s="122"/>
      <c r="AO431" s="122"/>
      <c r="AP431" s="122"/>
      <c r="AQ431" s="124"/>
    </row>
    <row r="432" spans="1:43" ht="15.75" customHeight="1">
      <c r="A432" s="122"/>
      <c r="B432" s="122"/>
      <c r="C432" s="122"/>
      <c r="D432" s="122"/>
      <c r="E432" s="122"/>
      <c r="F432" s="122"/>
      <c r="G432" s="122"/>
      <c r="H432" s="122"/>
      <c r="I432" s="122"/>
      <c r="J432" s="122"/>
      <c r="K432" s="122"/>
      <c r="L432" s="122"/>
      <c r="M432" s="123"/>
      <c r="N432" s="123"/>
      <c r="O432" s="122"/>
      <c r="P432" s="124"/>
      <c r="Q432" s="122"/>
      <c r="R432" s="122"/>
      <c r="S432" s="122"/>
      <c r="T432" s="122"/>
      <c r="U432" s="122"/>
      <c r="V432" s="124"/>
      <c r="W432" s="125"/>
      <c r="X432" s="122"/>
      <c r="Y432" s="122"/>
      <c r="Z432" s="122"/>
      <c r="AA432" s="126"/>
      <c r="AB432" s="122"/>
      <c r="AC432" s="122"/>
      <c r="AD432" s="127"/>
      <c r="AE432" s="127"/>
      <c r="AF432" s="127"/>
      <c r="AG432" s="127"/>
      <c r="AH432" s="124"/>
      <c r="AI432" s="127"/>
      <c r="AJ432" s="127"/>
      <c r="AK432" s="126"/>
      <c r="AL432" s="122"/>
      <c r="AM432" s="122"/>
      <c r="AN432" s="122"/>
      <c r="AO432" s="122"/>
      <c r="AP432" s="122"/>
      <c r="AQ432" s="124"/>
    </row>
    <row r="433" spans="1:43" ht="15.75" customHeight="1">
      <c r="A433" s="122"/>
      <c r="B433" s="122"/>
      <c r="C433" s="122"/>
      <c r="D433" s="122"/>
      <c r="E433" s="122"/>
      <c r="F433" s="122"/>
      <c r="G433" s="122"/>
      <c r="H433" s="122"/>
      <c r="I433" s="122"/>
      <c r="J433" s="122"/>
      <c r="K433" s="122"/>
      <c r="L433" s="122"/>
      <c r="M433" s="123"/>
      <c r="N433" s="123"/>
      <c r="O433" s="122"/>
      <c r="P433" s="124"/>
      <c r="Q433" s="122"/>
      <c r="R433" s="122"/>
      <c r="S433" s="122"/>
      <c r="T433" s="122"/>
      <c r="U433" s="122"/>
      <c r="V433" s="124"/>
      <c r="W433" s="125"/>
      <c r="X433" s="122"/>
      <c r="Y433" s="122"/>
      <c r="Z433" s="122"/>
      <c r="AA433" s="126"/>
      <c r="AB433" s="122"/>
      <c r="AC433" s="122"/>
      <c r="AD433" s="127"/>
      <c r="AE433" s="127"/>
      <c r="AF433" s="127"/>
      <c r="AG433" s="127"/>
      <c r="AH433" s="124"/>
      <c r="AI433" s="127"/>
      <c r="AJ433" s="127"/>
      <c r="AK433" s="126"/>
      <c r="AL433" s="122"/>
      <c r="AM433" s="122"/>
      <c r="AN433" s="122"/>
      <c r="AO433" s="122"/>
      <c r="AP433" s="122"/>
      <c r="AQ433" s="124"/>
    </row>
    <row r="434" spans="1:43" ht="15.75" customHeight="1">
      <c r="A434" s="122"/>
      <c r="B434" s="122"/>
      <c r="C434" s="122"/>
      <c r="D434" s="122"/>
      <c r="E434" s="122"/>
      <c r="F434" s="122"/>
      <c r="G434" s="122"/>
      <c r="H434" s="122"/>
      <c r="I434" s="122"/>
      <c r="J434" s="122"/>
      <c r="K434" s="122"/>
      <c r="L434" s="122"/>
      <c r="M434" s="123"/>
      <c r="N434" s="123"/>
      <c r="O434" s="122"/>
      <c r="P434" s="124"/>
      <c r="Q434" s="122"/>
      <c r="R434" s="122"/>
      <c r="S434" s="122"/>
      <c r="T434" s="122"/>
      <c r="U434" s="122"/>
      <c r="V434" s="124"/>
      <c r="W434" s="125"/>
      <c r="X434" s="122"/>
      <c r="Y434" s="122"/>
      <c r="Z434" s="122"/>
      <c r="AA434" s="126"/>
      <c r="AB434" s="122"/>
      <c r="AC434" s="122"/>
      <c r="AD434" s="127"/>
      <c r="AE434" s="127"/>
      <c r="AF434" s="127"/>
      <c r="AG434" s="127"/>
      <c r="AH434" s="124"/>
      <c r="AI434" s="127"/>
      <c r="AJ434" s="127"/>
      <c r="AK434" s="126"/>
      <c r="AL434" s="122"/>
      <c r="AM434" s="122"/>
      <c r="AN434" s="122"/>
      <c r="AO434" s="122"/>
      <c r="AP434" s="122"/>
      <c r="AQ434" s="124"/>
    </row>
    <row r="435" spans="1:43" ht="15.75" customHeight="1">
      <c r="A435" s="122"/>
      <c r="B435" s="122"/>
      <c r="C435" s="122"/>
      <c r="D435" s="122"/>
      <c r="E435" s="122"/>
      <c r="F435" s="122"/>
      <c r="G435" s="122"/>
      <c r="H435" s="122"/>
      <c r="I435" s="122"/>
      <c r="J435" s="122"/>
      <c r="K435" s="122"/>
      <c r="L435" s="122"/>
      <c r="M435" s="123"/>
      <c r="N435" s="123"/>
      <c r="O435" s="122"/>
      <c r="P435" s="124"/>
      <c r="Q435" s="122"/>
      <c r="R435" s="122"/>
      <c r="S435" s="122"/>
      <c r="T435" s="122"/>
      <c r="U435" s="122"/>
      <c r="V435" s="124"/>
      <c r="W435" s="125"/>
      <c r="X435" s="122"/>
      <c r="Y435" s="122"/>
      <c r="Z435" s="122"/>
      <c r="AA435" s="126"/>
      <c r="AB435" s="122"/>
      <c r="AC435" s="122"/>
      <c r="AD435" s="127"/>
      <c r="AE435" s="127"/>
      <c r="AF435" s="127"/>
      <c r="AG435" s="127"/>
      <c r="AH435" s="124"/>
      <c r="AI435" s="127"/>
      <c r="AJ435" s="127"/>
      <c r="AK435" s="126"/>
      <c r="AL435" s="122"/>
      <c r="AM435" s="122"/>
      <c r="AN435" s="122"/>
      <c r="AO435" s="122"/>
      <c r="AP435" s="122"/>
      <c r="AQ435" s="124"/>
    </row>
    <row r="436" spans="1:43" ht="15.75" customHeight="1">
      <c r="A436" s="122"/>
      <c r="B436" s="122"/>
      <c r="C436" s="122"/>
      <c r="D436" s="122"/>
      <c r="E436" s="122"/>
      <c r="F436" s="122"/>
      <c r="G436" s="122"/>
      <c r="H436" s="122"/>
      <c r="I436" s="122"/>
      <c r="J436" s="122"/>
      <c r="K436" s="122"/>
      <c r="L436" s="122"/>
      <c r="M436" s="123"/>
      <c r="N436" s="123"/>
      <c r="O436" s="122"/>
      <c r="P436" s="124"/>
      <c r="Q436" s="122"/>
      <c r="R436" s="122"/>
      <c r="S436" s="122"/>
      <c r="T436" s="122"/>
      <c r="U436" s="122"/>
      <c r="V436" s="124"/>
      <c r="W436" s="125"/>
      <c r="X436" s="122"/>
      <c r="Y436" s="122"/>
      <c r="Z436" s="122"/>
      <c r="AA436" s="126"/>
      <c r="AB436" s="122"/>
      <c r="AC436" s="122"/>
      <c r="AD436" s="127"/>
      <c r="AE436" s="127"/>
      <c r="AF436" s="127"/>
      <c r="AG436" s="127"/>
      <c r="AH436" s="124"/>
      <c r="AI436" s="127"/>
      <c r="AJ436" s="127"/>
      <c r="AK436" s="126"/>
      <c r="AL436" s="122"/>
      <c r="AM436" s="122"/>
      <c r="AN436" s="122"/>
      <c r="AO436" s="122"/>
      <c r="AP436" s="122"/>
      <c r="AQ436" s="124"/>
    </row>
    <row r="437" spans="1:43" ht="15.75" customHeight="1">
      <c r="A437" s="122"/>
      <c r="B437" s="122"/>
      <c r="C437" s="122"/>
      <c r="D437" s="122"/>
      <c r="E437" s="122"/>
      <c r="F437" s="122"/>
      <c r="G437" s="122"/>
      <c r="H437" s="122"/>
      <c r="I437" s="122"/>
      <c r="J437" s="122"/>
      <c r="K437" s="122"/>
      <c r="L437" s="122"/>
      <c r="M437" s="123"/>
      <c r="N437" s="123"/>
      <c r="O437" s="122"/>
      <c r="P437" s="124"/>
      <c r="Q437" s="122"/>
      <c r="R437" s="122"/>
      <c r="S437" s="122"/>
      <c r="T437" s="122"/>
      <c r="U437" s="122"/>
      <c r="V437" s="124"/>
      <c r="W437" s="125"/>
      <c r="X437" s="122"/>
      <c r="Y437" s="122"/>
      <c r="Z437" s="122"/>
      <c r="AA437" s="126"/>
      <c r="AB437" s="122"/>
      <c r="AC437" s="122"/>
      <c r="AD437" s="127"/>
      <c r="AE437" s="127"/>
      <c r="AF437" s="127"/>
      <c r="AG437" s="127"/>
      <c r="AH437" s="124"/>
      <c r="AI437" s="127"/>
      <c r="AJ437" s="127"/>
      <c r="AK437" s="126"/>
      <c r="AL437" s="122"/>
      <c r="AM437" s="122"/>
      <c r="AN437" s="122"/>
      <c r="AO437" s="122"/>
      <c r="AP437" s="122"/>
      <c r="AQ437" s="124"/>
    </row>
    <row r="438" spans="1:43" ht="15.75" customHeight="1">
      <c r="A438" s="122"/>
      <c r="B438" s="122"/>
      <c r="C438" s="122"/>
      <c r="D438" s="122"/>
      <c r="E438" s="122"/>
      <c r="F438" s="122"/>
      <c r="G438" s="122"/>
      <c r="H438" s="122"/>
      <c r="I438" s="122"/>
      <c r="J438" s="122"/>
      <c r="K438" s="122"/>
      <c r="L438" s="122"/>
      <c r="M438" s="123"/>
      <c r="N438" s="123"/>
      <c r="O438" s="122"/>
      <c r="P438" s="124"/>
      <c r="Q438" s="122"/>
      <c r="R438" s="122"/>
      <c r="S438" s="122"/>
      <c r="T438" s="122"/>
      <c r="U438" s="122"/>
      <c r="V438" s="124"/>
      <c r="W438" s="125"/>
      <c r="X438" s="122"/>
      <c r="Y438" s="122"/>
      <c r="Z438" s="122"/>
      <c r="AA438" s="126"/>
      <c r="AB438" s="122"/>
      <c r="AC438" s="122"/>
      <c r="AD438" s="127"/>
      <c r="AE438" s="127"/>
      <c r="AF438" s="127"/>
      <c r="AG438" s="127"/>
      <c r="AH438" s="124"/>
      <c r="AI438" s="127"/>
      <c r="AJ438" s="127"/>
      <c r="AK438" s="126"/>
      <c r="AL438" s="122"/>
      <c r="AM438" s="122"/>
      <c r="AN438" s="122"/>
      <c r="AO438" s="122"/>
      <c r="AP438" s="122"/>
      <c r="AQ438" s="124"/>
    </row>
    <row r="439" spans="1:43" ht="15.75" customHeight="1">
      <c r="A439" s="122"/>
      <c r="B439" s="122"/>
      <c r="C439" s="122"/>
      <c r="D439" s="122"/>
      <c r="E439" s="122"/>
      <c r="F439" s="122"/>
      <c r="G439" s="122"/>
      <c r="H439" s="122"/>
      <c r="I439" s="122"/>
      <c r="J439" s="122"/>
      <c r="K439" s="122"/>
      <c r="L439" s="122"/>
      <c r="M439" s="123"/>
      <c r="N439" s="123"/>
      <c r="O439" s="122"/>
      <c r="P439" s="124"/>
      <c r="Q439" s="122"/>
      <c r="R439" s="122"/>
      <c r="S439" s="122"/>
      <c r="T439" s="122"/>
      <c r="U439" s="122"/>
      <c r="V439" s="124"/>
      <c r="W439" s="125"/>
      <c r="X439" s="122"/>
      <c r="Y439" s="122"/>
      <c r="Z439" s="122"/>
      <c r="AA439" s="126"/>
      <c r="AB439" s="122"/>
      <c r="AC439" s="122"/>
      <c r="AD439" s="127"/>
      <c r="AE439" s="127"/>
      <c r="AF439" s="127"/>
      <c r="AG439" s="127"/>
      <c r="AH439" s="124"/>
      <c r="AI439" s="127"/>
      <c r="AJ439" s="127"/>
      <c r="AK439" s="126"/>
      <c r="AL439" s="122"/>
      <c r="AM439" s="122"/>
      <c r="AN439" s="122"/>
      <c r="AO439" s="122"/>
      <c r="AP439" s="122"/>
      <c r="AQ439" s="124"/>
    </row>
    <row r="440" spans="1:43" ht="15.75" customHeight="1">
      <c r="A440" s="122"/>
      <c r="B440" s="122"/>
      <c r="C440" s="122"/>
      <c r="D440" s="122"/>
      <c r="E440" s="122"/>
      <c r="F440" s="122"/>
      <c r="G440" s="122"/>
      <c r="H440" s="122"/>
      <c r="I440" s="122"/>
      <c r="J440" s="122"/>
      <c r="K440" s="122"/>
      <c r="L440" s="122"/>
      <c r="M440" s="123"/>
      <c r="N440" s="123"/>
      <c r="O440" s="122"/>
      <c r="P440" s="124"/>
      <c r="Q440" s="122"/>
      <c r="R440" s="122"/>
      <c r="S440" s="122"/>
      <c r="T440" s="122"/>
      <c r="U440" s="122"/>
      <c r="V440" s="124"/>
      <c r="W440" s="125"/>
      <c r="X440" s="122"/>
      <c r="Y440" s="122"/>
      <c r="Z440" s="122"/>
      <c r="AA440" s="126"/>
      <c r="AB440" s="122"/>
      <c r="AC440" s="122"/>
      <c r="AD440" s="127"/>
      <c r="AE440" s="127"/>
      <c r="AF440" s="127"/>
      <c r="AG440" s="127"/>
      <c r="AH440" s="124"/>
      <c r="AI440" s="127"/>
      <c r="AJ440" s="127"/>
      <c r="AK440" s="126"/>
      <c r="AL440" s="122"/>
      <c r="AM440" s="122"/>
      <c r="AN440" s="122"/>
      <c r="AO440" s="122"/>
      <c r="AP440" s="122"/>
      <c r="AQ440" s="124"/>
    </row>
    <row r="441" spans="1:43" ht="15.75" customHeight="1">
      <c r="A441" s="122"/>
      <c r="B441" s="122"/>
      <c r="C441" s="122"/>
      <c r="D441" s="122"/>
      <c r="E441" s="122"/>
      <c r="F441" s="122"/>
      <c r="G441" s="122"/>
      <c r="H441" s="122"/>
      <c r="I441" s="122"/>
      <c r="J441" s="122"/>
      <c r="K441" s="122"/>
      <c r="L441" s="122"/>
      <c r="M441" s="123"/>
      <c r="N441" s="123"/>
      <c r="O441" s="122"/>
      <c r="P441" s="124"/>
      <c r="Q441" s="122"/>
      <c r="R441" s="122"/>
      <c r="S441" s="122"/>
      <c r="T441" s="122"/>
      <c r="U441" s="122"/>
      <c r="V441" s="124"/>
      <c r="W441" s="125"/>
      <c r="X441" s="122"/>
      <c r="Y441" s="122"/>
      <c r="Z441" s="122"/>
      <c r="AA441" s="126"/>
      <c r="AB441" s="122"/>
      <c r="AC441" s="122"/>
      <c r="AD441" s="127"/>
      <c r="AE441" s="127"/>
      <c r="AF441" s="127"/>
      <c r="AG441" s="127"/>
      <c r="AH441" s="124"/>
      <c r="AI441" s="127"/>
      <c r="AJ441" s="127"/>
      <c r="AK441" s="126"/>
      <c r="AL441" s="122"/>
      <c r="AM441" s="122"/>
      <c r="AN441" s="122"/>
      <c r="AO441" s="122"/>
      <c r="AP441" s="122"/>
      <c r="AQ441" s="124"/>
    </row>
    <row r="442" spans="1:43" ht="15.75" customHeight="1">
      <c r="A442" s="122"/>
      <c r="B442" s="122"/>
      <c r="C442" s="122"/>
      <c r="D442" s="122"/>
      <c r="E442" s="122"/>
      <c r="F442" s="122"/>
      <c r="G442" s="122"/>
      <c r="H442" s="122"/>
      <c r="I442" s="122"/>
      <c r="J442" s="122"/>
      <c r="K442" s="122"/>
      <c r="L442" s="122"/>
      <c r="M442" s="123"/>
      <c r="N442" s="123"/>
      <c r="O442" s="122"/>
      <c r="P442" s="124"/>
      <c r="Q442" s="122"/>
      <c r="R442" s="122"/>
      <c r="S442" s="122"/>
      <c r="T442" s="122"/>
      <c r="U442" s="122"/>
      <c r="V442" s="124"/>
      <c r="W442" s="125"/>
      <c r="X442" s="122"/>
      <c r="Y442" s="122"/>
      <c r="Z442" s="122"/>
      <c r="AA442" s="126"/>
      <c r="AB442" s="122"/>
      <c r="AC442" s="122"/>
      <c r="AD442" s="127"/>
      <c r="AE442" s="127"/>
      <c r="AF442" s="127"/>
      <c r="AG442" s="127"/>
      <c r="AH442" s="124"/>
      <c r="AI442" s="127"/>
      <c r="AJ442" s="127"/>
      <c r="AK442" s="126"/>
      <c r="AL442" s="122"/>
      <c r="AM442" s="122"/>
      <c r="AN442" s="122"/>
      <c r="AO442" s="122"/>
      <c r="AP442" s="122"/>
      <c r="AQ442" s="124"/>
    </row>
    <row r="443" spans="1:43" ht="15.75" customHeight="1">
      <c r="A443" s="122"/>
      <c r="B443" s="122"/>
      <c r="C443" s="122"/>
      <c r="D443" s="122"/>
      <c r="E443" s="122"/>
      <c r="F443" s="122"/>
      <c r="G443" s="122"/>
      <c r="H443" s="122"/>
      <c r="I443" s="122"/>
      <c r="J443" s="122"/>
      <c r="K443" s="122"/>
      <c r="L443" s="122"/>
      <c r="M443" s="123"/>
      <c r="N443" s="123"/>
      <c r="O443" s="122"/>
      <c r="P443" s="124"/>
      <c r="Q443" s="122"/>
      <c r="R443" s="122"/>
      <c r="S443" s="122"/>
      <c r="T443" s="122"/>
      <c r="U443" s="122"/>
      <c r="V443" s="124"/>
      <c r="W443" s="125"/>
      <c r="X443" s="122"/>
      <c r="Y443" s="122"/>
      <c r="Z443" s="122"/>
      <c r="AA443" s="126"/>
      <c r="AB443" s="122"/>
      <c r="AC443" s="122"/>
      <c r="AD443" s="127"/>
      <c r="AE443" s="127"/>
      <c r="AF443" s="127"/>
      <c r="AG443" s="127"/>
      <c r="AH443" s="124"/>
      <c r="AI443" s="127"/>
      <c r="AJ443" s="127"/>
      <c r="AK443" s="126"/>
      <c r="AL443" s="122"/>
      <c r="AM443" s="122"/>
      <c r="AN443" s="122"/>
      <c r="AO443" s="122"/>
      <c r="AP443" s="122"/>
      <c r="AQ443" s="124"/>
    </row>
    <row r="444" spans="1:43" ht="15.75" customHeight="1">
      <c r="A444" s="122"/>
      <c r="B444" s="122"/>
      <c r="C444" s="122"/>
      <c r="D444" s="122"/>
      <c r="E444" s="122"/>
      <c r="F444" s="122"/>
      <c r="G444" s="122"/>
      <c r="H444" s="122"/>
      <c r="I444" s="122"/>
      <c r="J444" s="122"/>
      <c r="K444" s="122"/>
      <c r="L444" s="122"/>
      <c r="M444" s="123"/>
      <c r="N444" s="123"/>
      <c r="O444" s="122"/>
      <c r="P444" s="124"/>
      <c r="Q444" s="122"/>
      <c r="R444" s="122"/>
      <c r="S444" s="122"/>
      <c r="T444" s="122"/>
      <c r="U444" s="122"/>
      <c r="V444" s="124"/>
      <c r="W444" s="125"/>
      <c r="X444" s="122"/>
      <c r="Y444" s="122"/>
      <c r="Z444" s="122"/>
      <c r="AA444" s="126"/>
      <c r="AB444" s="122"/>
      <c r="AC444" s="122"/>
      <c r="AD444" s="127"/>
      <c r="AE444" s="127"/>
      <c r="AF444" s="127"/>
      <c r="AG444" s="127"/>
      <c r="AH444" s="124"/>
      <c r="AI444" s="127"/>
      <c r="AJ444" s="127"/>
      <c r="AK444" s="126"/>
      <c r="AL444" s="122"/>
      <c r="AM444" s="122"/>
      <c r="AN444" s="122"/>
      <c r="AO444" s="122"/>
      <c r="AP444" s="122"/>
      <c r="AQ444" s="124"/>
    </row>
    <row r="445" spans="1:43" ht="15.75" customHeight="1">
      <c r="A445" s="122"/>
      <c r="B445" s="122"/>
      <c r="C445" s="122"/>
      <c r="D445" s="122"/>
      <c r="E445" s="122"/>
      <c r="F445" s="122"/>
      <c r="G445" s="122"/>
      <c r="H445" s="122"/>
      <c r="I445" s="122"/>
      <c r="J445" s="122"/>
      <c r="K445" s="122"/>
      <c r="L445" s="122"/>
      <c r="M445" s="123"/>
      <c r="N445" s="123"/>
      <c r="O445" s="122"/>
      <c r="P445" s="124"/>
      <c r="Q445" s="122"/>
      <c r="R445" s="122"/>
      <c r="S445" s="122"/>
      <c r="T445" s="122"/>
      <c r="U445" s="122"/>
      <c r="V445" s="124"/>
      <c r="W445" s="125"/>
      <c r="X445" s="122"/>
      <c r="Y445" s="122"/>
      <c r="Z445" s="122"/>
      <c r="AA445" s="126"/>
      <c r="AB445" s="122"/>
      <c r="AC445" s="122"/>
      <c r="AD445" s="127"/>
      <c r="AE445" s="127"/>
      <c r="AF445" s="127"/>
      <c r="AG445" s="127"/>
      <c r="AH445" s="124"/>
      <c r="AI445" s="127"/>
      <c r="AJ445" s="127"/>
      <c r="AK445" s="126"/>
      <c r="AL445" s="122"/>
      <c r="AM445" s="122"/>
      <c r="AN445" s="122"/>
      <c r="AO445" s="122"/>
      <c r="AP445" s="122"/>
      <c r="AQ445" s="124"/>
    </row>
    <row r="446" spans="1:43" ht="15.75" customHeight="1">
      <c r="A446" s="122"/>
      <c r="B446" s="122"/>
      <c r="C446" s="122"/>
      <c r="D446" s="122"/>
      <c r="E446" s="122"/>
      <c r="F446" s="122"/>
      <c r="G446" s="122"/>
      <c r="H446" s="122"/>
      <c r="I446" s="122"/>
      <c r="J446" s="122"/>
      <c r="K446" s="122"/>
      <c r="L446" s="122"/>
      <c r="M446" s="123"/>
      <c r="N446" s="123"/>
      <c r="O446" s="122"/>
      <c r="P446" s="124"/>
      <c r="Q446" s="122"/>
      <c r="R446" s="122"/>
      <c r="S446" s="122"/>
      <c r="T446" s="122"/>
      <c r="U446" s="122"/>
      <c r="V446" s="124"/>
      <c r="W446" s="125"/>
      <c r="X446" s="122"/>
      <c r="Y446" s="122"/>
      <c r="Z446" s="122"/>
      <c r="AA446" s="126"/>
      <c r="AB446" s="122"/>
      <c r="AC446" s="122"/>
      <c r="AD446" s="127"/>
      <c r="AE446" s="127"/>
      <c r="AF446" s="127"/>
      <c r="AG446" s="127"/>
      <c r="AH446" s="124"/>
      <c r="AI446" s="127"/>
      <c r="AJ446" s="127"/>
      <c r="AK446" s="126"/>
      <c r="AL446" s="122"/>
      <c r="AM446" s="122"/>
      <c r="AN446" s="122"/>
      <c r="AO446" s="122"/>
      <c r="AP446" s="122"/>
      <c r="AQ446" s="124"/>
    </row>
    <row r="447" spans="1:43" ht="15.75" customHeight="1">
      <c r="A447" s="122"/>
      <c r="B447" s="122"/>
      <c r="C447" s="122"/>
      <c r="D447" s="122"/>
      <c r="E447" s="122"/>
      <c r="F447" s="122"/>
      <c r="G447" s="122"/>
      <c r="H447" s="122"/>
      <c r="I447" s="122"/>
      <c r="J447" s="122"/>
      <c r="K447" s="122"/>
      <c r="L447" s="122"/>
      <c r="M447" s="123"/>
      <c r="N447" s="123"/>
      <c r="O447" s="122"/>
      <c r="P447" s="124"/>
      <c r="Q447" s="122"/>
      <c r="R447" s="122"/>
      <c r="S447" s="122"/>
      <c r="T447" s="122"/>
      <c r="U447" s="122"/>
      <c r="V447" s="124"/>
      <c r="W447" s="125"/>
      <c r="X447" s="122"/>
      <c r="Y447" s="122"/>
      <c r="Z447" s="122"/>
      <c r="AA447" s="126"/>
      <c r="AB447" s="122"/>
      <c r="AC447" s="122"/>
      <c r="AD447" s="127"/>
      <c r="AE447" s="127"/>
      <c r="AF447" s="127"/>
      <c r="AG447" s="127"/>
      <c r="AH447" s="124"/>
      <c r="AI447" s="127"/>
      <c r="AJ447" s="127"/>
      <c r="AK447" s="126"/>
      <c r="AL447" s="122"/>
      <c r="AM447" s="122"/>
      <c r="AN447" s="122"/>
      <c r="AO447" s="122"/>
      <c r="AP447" s="122"/>
      <c r="AQ447" s="124"/>
    </row>
    <row r="448" spans="1:43" ht="15.75" customHeight="1">
      <c r="A448" s="122"/>
      <c r="B448" s="122"/>
      <c r="C448" s="122"/>
      <c r="D448" s="122"/>
      <c r="E448" s="122"/>
      <c r="F448" s="122"/>
      <c r="G448" s="122"/>
      <c r="H448" s="122"/>
      <c r="I448" s="122"/>
      <c r="J448" s="122"/>
      <c r="K448" s="122"/>
      <c r="L448" s="122"/>
      <c r="M448" s="123"/>
      <c r="N448" s="123"/>
      <c r="O448" s="122"/>
      <c r="P448" s="124"/>
      <c r="Q448" s="122"/>
      <c r="R448" s="122"/>
      <c r="S448" s="122"/>
      <c r="T448" s="122"/>
      <c r="U448" s="122"/>
      <c r="V448" s="124"/>
      <c r="W448" s="125"/>
      <c r="X448" s="122"/>
      <c r="Y448" s="122"/>
      <c r="Z448" s="122"/>
      <c r="AA448" s="126"/>
      <c r="AB448" s="122"/>
      <c r="AC448" s="122"/>
      <c r="AD448" s="127"/>
      <c r="AE448" s="127"/>
      <c r="AF448" s="127"/>
      <c r="AG448" s="127"/>
      <c r="AH448" s="124"/>
      <c r="AI448" s="127"/>
      <c r="AJ448" s="127"/>
      <c r="AK448" s="126"/>
      <c r="AL448" s="122"/>
      <c r="AM448" s="122"/>
      <c r="AN448" s="122"/>
      <c r="AO448" s="122"/>
      <c r="AP448" s="122"/>
      <c r="AQ448" s="124"/>
    </row>
    <row r="449" spans="1:43" ht="15.75" customHeight="1">
      <c r="A449" s="122"/>
      <c r="B449" s="122"/>
      <c r="C449" s="122"/>
      <c r="D449" s="122"/>
      <c r="E449" s="122"/>
      <c r="F449" s="122"/>
      <c r="G449" s="122"/>
      <c r="H449" s="122"/>
      <c r="I449" s="122"/>
      <c r="J449" s="122"/>
      <c r="K449" s="122"/>
      <c r="L449" s="122"/>
      <c r="M449" s="123"/>
      <c r="N449" s="123"/>
      <c r="O449" s="122"/>
      <c r="P449" s="124"/>
      <c r="Q449" s="122"/>
      <c r="R449" s="122"/>
      <c r="S449" s="122"/>
      <c r="T449" s="122"/>
      <c r="U449" s="122"/>
      <c r="V449" s="124"/>
      <c r="W449" s="125"/>
      <c r="X449" s="122"/>
      <c r="Y449" s="122"/>
      <c r="Z449" s="122"/>
      <c r="AA449" s="126"/>
      <c r="AB449" s="122"/>
      <c r="AC449" s="122"/>
      <c r="AD449" s="127"/>
      <c r="AE449" s="127"/>
      <c r="AF449" s="127"/>
      <c r="AG449" s="127"/>
      <c r="AH449" s="124"/>
      <c r="AI449" s="127"/>
      <c r="AJ449" s="127"/>
      <c r="AK449" s="126"/>
      <c r="AL449" s="122"/>
      <c r="AM449" s="122"/>
      <c r="AN449" s="122"/>
      <c r="AO449" s="122"/>
      <c r="AP449" s="122"/>
      <c r="AQ449" s="124"/>
    </row>
    <row r="450" spans="1:43" ht="15.75" customHeight="1">
      <c r="A450" s="122"/>
      <c r="B450" s="122"/>
      <c r="C450" s="122"/>
      <c r="D450" s="122"/>
      <c r="E450" s="122"/>
      <c r="F450" s="122"/>
      <c r="G450" s="122"/>
      <c r="H450" s="122"/>
      <c r="I450" s="122"/>
      <c r="J450" s="122"/>
      <c r="K450" s="122"/>
      <c r="L450" s="122"/>
      <c r="M450" s="123"/>
      <c r="N450" s="123"/>
      <c r="O450" s="122"/>
      <c r="P450" s="124"/>
      <c r="Q450" s="122"/>
      <c r="R450" s="122"/>
      <c r="S450" s="122"/>
      <c r="T450" s="122"/>
      <c r="U450" s="122"/>
      <c r="V450" s="124"/>
      <c r="W450" s="125"/>
      <c r="X450" s="122"/>
      <c r="Y450" s="122"/>
      <c r="Z450" s="122"/>
      <c r="AA450" s="126"/>
      <c r="AB450" s="122"/>
      <c r="AC450" s="122"/>
      <c r="AD450" s="127"/>
      <c r="AE450" s="127"/>
      <c r="AF450" s="127"/>
      <c r="AG450" s="127"/>
      <c r="AH450" s="124"/>
      <c r="AI450" s="127"/>
      <c r="AJ450" s="127"/>
      <c r="AK450" s="126"/>
      <c r="AL450" s="122"/>
      <c r="AM450" s="122"/>
      <c r="AN450" s="122"/>
      <c r="AO450" s="122"/>
      <c r="AP450" s="122"/>
      <c r="AQ450" s="124"/>
    </row>
    <row r="451" spans="1:43" ht="15.75" customHeight="1">
      <c r="A451" s="122"/>
      <c r="B451" s="122"/>
      <c r="C451" s="122"/>
      <c r="D451" s="122"/>
      <c r="E451" s="122"/>
      <c r="F451" s="122"/>
      <c r="G451" s="122"/>
      <c r="H451" s="122"/>
      <c r="I451" s="122"/>
      <c r="J451" s="122"/>
      <c r="K451" s="122"/>
      <c r="L451" s="122"/>
      <c r="M451" s="123"/>
      <c r="N451" s="123"/>
      <c r="O451" s="122"/>
      <c r="P451" s="124"/>
      <c r="Q451" s="122"/>
      <c r="R451" s="122"/>
      <c r="S451" s="122"/>
      <c r="T451" s="122"/>
      <c r="U451" s="122"/>
      <c r="V451" s="124"/>
      <c r="W451" s="125"/>
      <c r="X451" s="122"/>
      <c r="Y451" s="122"/>
      <c r="Z451" s="122"/>
      <c r="AA451" s="126"/>
      <c r="AB451" s="122"/>
      <c r="AC451" s="122"/>
      <c r="AD451" s="127"/>
      <c r="AE451" s="127"/>
      <c r="AF451" s="127"/>
      <c r="AG451" s="127"/>
      <c r="AH451" s="124"/>
      <c r="AI451" s="127"/>
      <c r="AJ451" s="127"/>
      <c r="AK451" s="126"/>
      <c r="AL451" s="122"/>
      <c r="AM451" s="122"/>
      <c r="AN451" s="122"/>
      <c r="AO451" s="122"/>
      <c r="AP451" s="122"/>
      <c r="AQ451" s="124"/>
    </row>
    <row r="452" spans="1:43" ht="15.75" customHeight="1">
      <c r="A452" s="122"/>
      <c r="B452" s="122"/>
      <c r="C452" s="122"/>
      <c r="D452" s="122"/>
      <c r="E452" s="122"/>
      <c r="F452" s="122"/>
      <c r="G452" s="122"/>
      <c r="H452" s="122"/>
      <c r="I452" s="122"/>
      <c r="J452" s="122"/>
      <c r="K452" s="122"/>
      <c r="L452" s="122"/>
      <c r="M452" s="123"/>
      <c r="N452" s="123"/>
      <c r="O452" s="122"/>
      <c r="P452" s="124"/>
      <c r="Q452" s="122"/>
      <c r="R452" s="122"/>
      <c r="S452" s="122"/>
      <c r="T452" s="122"/>
      <c r="U452" s="122"/>
      <c r="V452" s="124"/>
      <c r="W452" s="125"/>
      <c r="X452" s="122"/>
      <c r="Y452" s="122"/>
      <c r="Z452" s="122"/>
      <c r="AA452" s="126"/>
      <c r="AB452" s="122"/>
      <c r="AC452" s="122"/>
      <c r="AD452" s="127"/>
      <c r="AE452" s="127"/>
      <c r="AF452" s="127"/>
      <c r="AG452" s="127"/>
      <c r="AH452" s="124"/>
      <c r="AI452" s="127"/>
      <c r="AJ452" s="127"/>
      <c r="AK452" s="126"/>
      <c r="AL452" s="122"/>
      <c r="AM452" s="122"/>
      <c r="AN452" s="122"/>
      <c r="AO452" s="122"/>
      <c r="AP452" s="122"/>
      <c r="AQ452" s="124"/>
    </row>
    <row r="453" spans="1:43" ht="15.75" customHeight="1">
      <c r="A453" s="122"/>
      <c r="B453" s="122"/>
      <c r="C453" s="122"/>
      <c r="D453" s="122"/>
      <c r="E453" s="122"/>
      <c r="F453" s="122"/>
      <c r="G453" s="122"/>
      <c r="H453" s="122"/>
      <c r="I453" s="122"/>
      <c r="J453" s="122"/>
      <c r="K453" s="122"/>
      <c r="L453" s="122"/>
      <c r="M453" s="123"/>
      <c r="N453" s="123"/>
      <c r="O453" s="122"/>
      <c r="P453" s="124"/>
      <c r="Q453" s="122"/>
      <c r="R453" s="122"/>
      <c r="S453" s="122"/>
      <c r="T453" s="122"/>
      <c r="U453" s="122"/>
      <c r="V453" s="124"/>
      <c r="W453" s="125"/>
      <c r="X453" s="122"/>
      <c r="Y453" s="122"/>
      <c r="Z453" s="122"/>
      <c r="AA453" s="126"/>
      <c r="AB453" s="122"/>
      <c r="AC453" s="122"/>
      <c r="AD453" s="127"/>
      <c r="AE453" s="127"/>
      <c r="AF453" s="127"/>
      <c r="AG453" s="127"/>
      <c r="AH453" s="124"/>
      <c r="AI453" s="127"/>
      <c r="AJ453" s="127"/>
      <c r="AK453" s="126"/>
      <c r="AL453" s="122"/>
      <c r="AM453" s="122"/>
      <c r="AN453" s="122"/>
      <c r="AO453" s="122"/>
      <c r="AP453" s="122"/>
      <c r="AQ453" s="124"/>
    </row>
    <row r="454" spans="1:43" ht="15.75" customHeight="1">
      <c r="A454" s="122"/>
      <c r="B454" s="122"/>
      <c r="C454" s="122"/>
      <c r="D454" s="122"/>
      <c r="E454" s="122"/>
      <c r="F454" s="122"/>
      <c r="G454" s="122"/>
      <c r="H454" s="122"/>
      <c r="I454" s="122"/>
      <c r="J454" s="122"/>
      <c r="K454" s="122"/>
      <c r="L454" s="122"/>
      <c r="M454" s="123"/>
      <c r="N454" s="123"/>
      <c r="O454" s="122"/>
      <c r="P454" s="124"/>
      <c r="Q454" s="122"/>
      <c r="R454" s="122"/>
      <c r="S454" s="122"/>
      <c r="T454" s="122"/>
      <c r="U454" s="122"/>
      <c r="V454" s="124"/>
      <c r="W454" s="125"/>
      <c r="X454" s="122"/>
      <c r="Y454" s="122"/>
      <c r="Z454" s="122"/>
      <c r="AA454" s="126"/>
      <c r="AB454" s="122"/>
      <c r="AC454" s="122"/>
      <c r="AD454" s="127"/>
      <c r="AE454" s="127"/>
      <c r="AF454" s="127"/>
      <c r="AG454" s="127"/>
      <c r="AH454" s="124"/>
      <c r="AI454" s="127"/>
      <c r="AJ454" s="127"/>
      <c r="AK454" s="126"/>
      <c r="AL454" s="122"/>
      <c r="AM454" s="122"/>
      <c r="AN454" s="122"/>
      <c r="AO454" s="122"/>
      <c r="AP454" s="122"/>
      <c r="AQ454" s="124"/>
    </row>
    <row r="455" spans="1:43" ht="15.75" customHeight="1">
      <c r="A455" s="122"/>
      <c r="B455" s="122"/>
      <c r="C455" s="122"/>
      <c r="D455" s="122"/>
      <c r="E455" s="122"/>
      <c r="F455" s="122"/>
      <c r="G455" s="122"/>
      <c r="H455" s="122"/>
      <c r="I455" s="122"/>
      <c r="J455" s="122"/>
      <c r="K455" s="122"/>
      <c r="L455" s="122"/>
      <c r="M455" s="123"/>
      <c r="N455" s="123"/>
      <c r="O455" s="122"/>
      <c r="P455" s="124"/>
      <c r="Q455" s="122"/>
      <c r="R455" s="122"/>
      <c r="S455" s="122"/>
      <c r="T455" s="122"/>
      <c r="U455" s="122"/>
      <c r="V455" s="124"/>
      <c r="W455" s="125"/>
      <c r="X455" s="122"/>
      <c r="Y455" s="122"/>
      <c r="Z455" s="122"/>
      <c r="AA455" s="126"/>
      <c r="AB455" s="122"/>
      <c r="AC455" s="122"/>
      <c r="AD455" s="127"/>
      <c r="AE455" s="127"/>
      <c r="AF455" s="127"/>
      <c r="AG455" s="127"/>
      <c r="AH455" s="124"/>
      <c r="AI455" s="127"/>
      <c r="AJ455" s="127"/>
      <c r="AK455" s="126"/>
      <c r="AL455" s="122"/>
      <c r="AM455" s="122"/>
      <c r="AN455" s="122"/>
      <c r="AO455" s="122"/>
      <c r="AP455" s="122"/>
      <c r="AQ455" s="124"/>
    </row>
    <row r="456" spans="1:43" ht="15.75" customHeight="1">
      <c r="A456" s="122"/>
      <c r="B456" s="122"/>
      <c r="C456" s="122"/>
      <c r="D456" s="122"/>
      <c r="E456" s="122"/>
      <c r="F456" s="122"/>
      <c r="G456" s="122"/>
      <c r="H456" s="122"/>
      <c r="I456" s="122"/>
      <c r="J456" s="122"/>
      <c r="K456" s="122"/>
      <c r="L456" s="122"/>
      <c r="M456" s="123"/>
      <c r="N456" s="123"/>
      <c r="O456" s="122"/>
      <c r="P456" s="124"/>
      <c r="Q456" s="122"/>
      <c r="R456" s="122"/>
      <c r="S456" s="122"/>
      <c r="T456" s="122"/>
      <c r="U456" s="122"/>
      <c r="V456" s="124"/>
      <c r="W456" s="125"/>
      <c r="X456" s="122"/>
      <c r="Y456" s="122"/>
      <c r="Z456" s="122"/>
      <c r="AA456" s="126"/>
      <c r="AB456" s="122"/>
      <c r="AC456" s="122"/>
      <c r="AD456" s="127"/>
      <c r="AE456" s="127"/>
      <c r="AF456" s="127"/>
      <c r="AG456" s="127"/>
      <c r="AH456" s="124"/>
      <c r="AI456" s="127"/>
      <c r="AJ456" s="127"/>
      <c r="AK456" s="126"/>
      <c r="AL456" s="122"/>
      <c r="AM456" s="122"/>
      <c r="AN456" s="122"/>
      <c r="AO456" s="122"/>
      <c r="AP456" s="122"/>
      <c r="AQ456" s="124"/>
    </row>
    <row r="457" spans="1:43" ht="15.75" customHeight="1">
      <c r="A457" s="122"/>
      <c r="B457" s="122"/>
      <c r="C457" s="122"/>
      <c r="D457" s="122"/>
      <c r="E457" s="122"/>
      <c r="F457" s="122"/>
      <c r="G457" s="122"/>
      <c r="H457" s="122"/>
      <c r="I457" s="122"/>
      <c r="J457" s="122"/>
      <c r="K457" s="122"/>
      <c r="L457" s="122"/>
      <c r="M457" s="123"/>
      <c r="N457" s="123"/>
      <c r="O457" s="122"/>
      <c r="P457" s="124"/>
      <c r="Q457" s="122"/>
      <c r="R457" s="122"/>
      <c r="S457" s="122"/>
      <c r="T457" s="122"/>
      <c r="U457" s="122"/>
      <c r="V457" s="124"/>
      <c r="W457" s="125"/>
      <c r="X457" s="122"/>
      <c r="Y457" s="122"/>
      <c r="Z457" s="122"/>
      <c r="AA457" s="126"/>
      <c r="AB457" s="122"/>
      <c r="AC457" s="122"/>
      <c r="AD457" s="127"/>
      <c r="AE457" s="127"/>
      <c r="AF457" s="127"/>
      <c r="AG457" s="127"/>
      <c r="AH457" s="124"/>
      <c r="AI457" s="127"/>
      <c r="AJ457" s="127"/>
      <c r="AK457" s="126"/>
      <c r="AL457" s="122"/>
      <c r="AM457" s="122"/>
      <c r="AN457" s="122"/>
      <c r="AO457" s="122"/>
      <c r="AP457" s="122"/>
      <c r="AQ457" s="124"/>
    </row>
    <row r="458" spans="1:43" ht="15.75" customHeight="1">
      <c r="A458" s="122"/>
      <c r="B458" s="122"/>
      <c r="C458" s="122"/>
      <c r="D458" s="122"/>
      <c r="E458" s="122"/>
      <c r="F458" s="122"/>
      <c r="G458" s="122"/>
      <c r="H458" s="122"/>
      <c r="I458" s="122"/>
      <c r="J458" s="122"/>
      <c r="K458" s="122"/>
      <c r="L458" s="122"/>
      <c r="M458" s="123"/>
      <c r="N458" s="123"/>
      <c r="O458" s="122"/>
      <c r="P458" s="124"/>
      <c r="Q458" s="122"/>
      <c r="R458" s="122"/>
      <c r="S458" s="122"/>
      <c r="T458" s="122"/>
      <c r="U458" s="122"/>
      <c r="V458" s="124"/>
      <c r="W458" s="125"/>
      <c r="X458" s="122"/>
      <c r="Y458" s="122"/>
      <c r="Z458" s="122"/>
      <c r="AA458" s="126"/>
      <c r="AB458" s="122"/>
      <c r="AC458" s="122"/>
      <c r="AD458" s="127"/>
      <c r="AE458" s="127"/>
      <c r="AF458" s="127"/>
      <c r="AG458" s="127"/>
      <c r="AH458" s="124"/>
      <c r="AI458" s="127"/>
      <c r="AJ458" s="127"/>
      <c r="AK458" s="126"/>
      <c r="AL458" s="122"/>
      <c r="AM458" s="122"/>
      <c r="AN458" s="122"/>
      <c r="AO458" s="122"/>
      <c r="AP458" s="122"/>
      <c r="AQ458" s="124"/>
    </row>
    <row r="459" spans="1:43" ht="15.75" customHeight="1">
      <c r="A459" s="122"/>
      <c r="B459" s="122"/>
      <c r="C459" s="122"/>
      <c r="D459" s="122"/>
      <c r="E459" s="122"/>
      <c r="F459" s="122"/>
      <c r="G459" s="122"/>
      <c r="H459" s="122"/>
      <c r="I459" s="122"/>
      <c r="J459" s="122"/>
      <c r="K459" s="122"/>
      <c r="L459" s="122"/>
      <c r="M459" s="123"/>
      <c r="N459" s="123"/>
      <c r="O459" s="122"/>
      <c r="P459" s="124"/>
      <c r="Q459" s="122"/>
      <c r="R459" s="122"/>
      <c r="S459" s="122"/>
      <c r="T459" s="122"/>
      <c r="U459" s="122"/>
      <c r="V459" s="124"/>
      <c r="W459" s="125"/>
      <c r="X459" s="122"/>
      <c r="Y459" s="122"/>
      <c r="Z459" s="122"/>
      <c r="AA459" s="126"/>
      <c r="AB459" s="122"/>
      <c r="AC459" s="122"/>
      <c r="AD459" s="127"/>
      <c r="AE459" s="127"/>
      <c r="AF459" s="127"/>
      <c r="AG459" s="127"/>
      <c r="AH459" s="124"/>
      <c r="AI459" s="127"/>
      <c r="AJ459" s="127"/>
      <c r="AK459" s="126"/>
      <c r="AL459" s="122"/>
      <c r="AM459" s="122"/>
      <c r="AN459" s="122"/>
      <c r="AO459" s="122"/>
      <c r="AP459" s="122"/>
      <c r="AQ459" s="124"/>
    </row>
    <row r="460" spans="1:43" ht="15.75" customHeight="1">
      <c r="A460" s="122"/>
      <c r="B460" s="122"/>
      <c r="C460" s="122"/>
      <c r="D460" s="122"/>
      <c r="E460" s="122"/>
      <c r="F460" s="122"/>
      <c r="G460" s="122"/>
      <c r="H460" s="122"/>
      <c r="I460" s="122"/>
      <c r="J460" s="122"/>
      <c r="K460" s="122"/>
      <c r="L460" s="122"/>
      <c r="M460" s="123"/>
      <c r="N460" s="123"/>
      <c r="O460" s="122"/>
      <c r="P460" s="124"/>
      <c r="Q460" s="122"/>
      <c r="R460" s="122"/>
      <c r="S460" s="122"/>
      <c r="T460" s="122"/>
      <c r="U460" s="122"/>
      <c r="V460" s="124"/>
      <c r="W460" s="125"/>
      <c r="X460" s="122"/>
      <c r="Y460" s="122"/>
      <c r="Z460" s="122"/>
      <c r="AA460" s="126"/>
      <c r="AB460" s="122"/>
      <c r="AC460" s="122"/>
      <c r="AD460" s="127"/>
      <c r="AE460" s="127"/>
      <c r="AF460" s="127"/>
      <c r="AG460" s="127"/>
      <c r="AH460" s="124"/>
      <c r="AI460" s="127"/>
      <c r="AJ460" s="127"/>
      <c r="AK460" s="126"/>
      <c r="AL460" s="122"/>
      <c r="AM460" s="122"/>
      <c r="AN460" s="122"/>
      <c r="AO460" s="122"/>
      <c r="AP460" s="122"/>
      <c r="AQ460" s="124"/>
    </row>
    <row r="461" spans="1:43" ht="15.75" customHeight="1">
      <c r="A461" s="122"/>
      <c r="B461" s="122"/>
      <c r="C461" s="122"/>
      <c r="D461" s="122"/>
      <c r="E461" s="122"/>
      <c r="F461" s="122"/>
      <c r="G461" s="122"/>
      <c r="H461" s="122"/>
      <c r="I461" s="122"/>
      <c r="J461" s="122"/>
      <c r="K461" s="122"/>
      <c r="L461" s="122"/>
      <c r="M461" s="123"/>
      <c r="N461" s="123"/>
      <c r="O461" s="122"/>
      <c r="P461" s="124"/>
      <c r="Q461" s="122"/>
      <c r="R461" s="122"/>
      <c r="S461" s="122"/>
      <c r="T461" s="122"/>
      <c r="U461" s="122"/>
      <c r="V461" s="124"/>
      <c r="W461" s="125"/>
      <c r="X461" s="122"/>
      <c r="Y461" s="122"/>
      <c r="Z461" s="122"/>
      <c r="AA461" s="126"/>
      <c r="AB461" s="122"/>
      <c r="AC461" s="122"/>
      <c r="AD461" s="127"/>
      <c r="AE461" s="127"/>
      <c r="AF461" s="127"/>
      <c r="AG461" s="127"/>
      <c r="AH461" s="124"/>
      <c r="AI461" s="127"/>
      <c r="AJ461" s="127"/>
      <c r="AK461" s="126"/>
      <c r="AL461" s="122"/>
      <c r="AM461" s="122"/>
      <c r="AN461" s="122"/>
      <c r="AO461" s="122"/>
      <c r="AP461" s="122"/>
      <c r="AQ461" s="124"/>
    </row>
    <row r="462" spans="1:43" ht="15.75" customHeight="1">
      <c r="A462" s="122"/>
      <c r="B462" s="122"/>
      <c r="C462" s="122"/>
      <c r="D462" s="122"/>
      <c r="E462" s="122"/>
      <c r="F462" s="122"/>
      <c r="G462" s="122"/>
      <c r="H462" s="122"/>
      <c r="I462" s="122"/>
      <c r="J462" s="122"/>
      <c r="K462" s="122"/>
      <c r="L462" s="122"/>
      <c r="M462" s="123"/>
      <c r="N462" s="123"/>
      <c r="O462" s="122"/>
      <c r="P462" s="124"/>
      <c r="Q462" s="122"/>
      <c r="R462" s="122"/>
      <c r="S462" s="122"/>
      <c r="T462" s="122"/>
      <c r="U462" s="122"/>
      <c r="V462" s="124"/>
      <c r="W462" s="125"/>
      <c r="X462" s="122"/>
      <c r="Y462" s="122"/>
      <c r="Z462" s="122"/>
      <c r="AA462" s="126"/>
      <c r="AB462" s="122"/>
      <c r="AC462" s="122"/>
      <c r="AD462" s="127"/>
      <c r="AE462" s="127"/>
      <c r="AF462" s="127"/>
      <c r="AG462" s="127"/>
      <c r="AH462" s="124"/>
      <c r="AI462" s="127"/>
      <c r="AJ462" s="127"/>
      <c r="AK462" s="126"/>
      <c r="AL462" s="122"/>
      <c r="AM462" s="122"/>
      <c r="AN462" s="122"/>
      <c r="AO462" s="122"/>
      <c r="AP462" s="122"/>
      <c r="AQ462" s="124"/>
    </row>
    <row r="463" spans="1:43" ht="15.75" customHeight="1">
      <c r="A463" s="122"/>
      <c r="B463" s="122"/>
      <c r="C463" s="122"/>
      <c r="D463" s="122"/>
      <c r="E463" s="122"/>
      <c r="F463" s="122"/>
      <c r="G463" s="122"/>
      <c r="H463" s="122"/>
      <c r="I463" s="122"/>
      <c r="J463" s="122"/>
      <c r="K463" s="122"/>
      <c r="L463" s="122"/>
      <c r="M463" s="123"/>
      <c r="N463" s="123"/>
      <c r="O463" s="122"/>
      <c r="P463" s="124"/>
      <c r="Q463" s="122"/>
      <c r="R463" s="122"/>
      <c r="S463" s="122"/>
      <c r="T463" s="122"/>
      <c r="U463" s="122"/>
      <c r="V463" s="124"/>
      <c r="W463" s="125"/>
      <c r="X463" s="122"/>
      <c r="Y463" s="122"/>
      <c r="Z463" s="122"/>
      <c r="AA463" s="126"/>
      <c r="AB463" s="122"/>
      <c r="AC463" s="122"/>
      <c r="AD463" s="127"/>
      <c r="AE463" s="127"/>
      <c r="AF463" s="127"/>
      <c r="AG463" s="127"/>
      <c r="AH463" s="124"/>
      <c r="AI463" s="127"/>
      <c r="AJ463" s="127"/>
      <c r="AK463" s="126"/>
      <c r="AL463" s="122"/>
      <c r="AM463" s="122"/>
      <c r="AN463" s="122"/>
      <c r="AO463" s="122"/>
      <c r="AP463" s="122"/>
      <c r="AQ463" s="124"/>
    </row>
    <row r="464" spans="1:43" ht="15.75" customHeight="1">
      <c r="A464" s="122"/>
      <c r="B464" s="122"/>
      <c r="C464" s="122"/>
      <c r="D464" s="122"/>
      <c r="E464" s="122"/>
      <c r="F464" s="122"/>
      <c r="G464" s="122"/>
      <c r="H464" s="122"/>
      <c r="I464" s="122"/>
      <c r="J464" s="122"/>
      <c r="K464" s="122"/>
      <c r="L464" s="122"/>
      <c r="M464" s="123"/>
      <c r="N464" s="123"/>
      <c r="O464" s="122"/>
      <c r="P464" s="124"/>
      <c r="Q464" s="122"/>
      <c r="R464" s="122"/>
      <c r="S464" s="122"/>
      <c r="T464" s="122"/>
      <c r="U464" s="122"/>
      <c r="V464" s="124"/>
      <c r="W464" s="125"/>
      <c r="X464" s="122"/>
      <c r="Y464" s="122"/>
      <c r="Z464" s="122"/>
      <c r="AA464" s="126"/>
      <c r="AB464" s="122"/>
      <c r="AC464" s="122"/>
      <c r="AD464" s="127"/>
      <c r="AE464" s="127"/>
      <c r="AF464" s="127"/>
      <c r="AG464" s="127"/>
      <c r="AH464" s="124"/>
      <c r="AI464" s="127"/>
      <c r="AJ464" s="127"/>
      <c r="AK464" s="126"/>
      <c r="AL464" s="122"/>
      <c r="AM464" s="122"/>
      <c r="AN464" s="122"/>
      <c r="AO464" s="122"/>
      <c r="AP464" s="122"/>
      <c r="AQ464" s="124"/>
    </row>
    <row r="465" spans="1:43" ht="15.75" customHeight="1">
      <c r="A465" s="122"/>
      <c r="B465" s="122"/>
      <c r="C465" s="122"/>
      <c r="D465" s="122"/>
      <c r="E465" s="122"/>
      <c r="F465" s="122"/>
      <c r="G465" s="122"/>
      <c r="H465" s="122"/>
      <c r="I465" s="122"/>
      <c r="J465" s="122"/>
      <c r="K465" s="122"/>
      <c r="L465" s="122"/>
      <c r="M465" s="123"/>
      <c r="N465" s="123"/>
      <c r="O465" s="122"/>
      <c r="P465" s="124"/>
      <c r="Q465" s="122"/>
      <c r="R465" s="122"/>
      <c r="S465" s="122"/>
      <c r="T465" s="122"/>
      <c r="U465" s="122"/>
      <c r="V465" s="124"/>
      <c r="W465" s="125"/>
      <c r="X465" s="122"/>
      <c r="Y465" s="122"/>
      <c r="Z465" s="122"/>
      <c r="AA465" s="126"/>
      <c r="AB465" s="122"/>
      <c r="AC465" s="122"/>
      <c r="AD465" s="127"/>
      <c r="AE465" s="127"/>
      <c r="AF465" s="127"/>
      <c r="AG465" s="127"/>
      <c r="AH465" s="124"/>
      <c r="AI465" s="127"/>
      <c r="AJ465" s="127"/>
      <c r="AK465" s="126"/>
      <c r="AL465" s="122"/>
      <c r="AM465" s="122"/>
      <c r="AN465" s="122"/>
      <c r="AO465" s="122"/>
      <c r="AP465" s="122"/>
      <c r="AQ465" s="124"/>
    </row>
    <row r="466" spans="1:43" ht="15.75" customHeight="1">
      <c r="A466" s="122"/>
      <c r="B466" s="122"/>
      <c r="C466" s="122"/>
      <c r="D466" s="122"/>
      <c r="E466" s="122"/>
      <c r="F466" s="122"/>
      <c r="G466" s="122"/>
      <c r="H466" s="122"/>
      <c r="I466" s="122"/>
      <c r="J466" s="122"/>
      <c r="K466" s="122"/>
      <c r="L466" s="122"/>
      <c r="M466" s="123"/>
      <c r="N466" s="123"/>
      <c r="O466" s="122"/>
      <c r="P466" s="124"/>
      <c r="Q466" s="122"/>
      <c r="R466" s="122"/>
      <c r="S466" s="122"/>
      <c r="T466" s="122"/>
      <c r="U466" s="122"/>
      <c r="V466" s="124"/>
      <c r="W466" s="125"/>
      <c r="X466" s="122"/>
      <c r="Y466" s="122"/>
      <c r="Z466" s="122"/>
      <c r="AA466" s="126"/>
      <c r="AB466" s="122"/>
      <c r="AC466" s="122"/>
      <c r="AD466" s="127"/>
      <c r="AE466" s="127"/>
      <c r="AF466" s="127"/>
      <c r="AG466" s="127"/>
      <c r="AH466" s="124"/>
      <c r="AI466" s="127"/>
      <c r="AJ466" s="127"/>
      <c r="AK466" s="126"/>
      <c r="AL466" s="122"/>
      <c r="AM466" s="122"/>
      <c r="AN466" s="122"/>
      <c r="AO466" s="122"/>
      <c r="AP466" s="122"/>
      <c r="AQ466" s="124"/>
    </row>
    <row r="467" spans="1:43" ht="15.75" customHeight="1">
      <c r="A467" s="122"/>
      <c r="B467" s="122"/>
      <c r="C467" s="122"/>
      <c r="D467" s="122"/>
      <c r="E467" s="122"/>
      <c r="F467" s="122"/>
      <c r="G467" s="122"/>
      <c r="H467" s="122"/>
      <c r="I467" s="122"/>
      <c r="J467" s="122"/>
      <c r="K467" s="122"/>
      <c r="L467" s="122"/>
      <c r="M467" s="123"/>
      <c r="N467" s="123"/>
      <c r="O467" s="122"/>
      <c r="P467" s="124"/>
      <c r="Q467" s="122"/>
      <c r="R467" s="122"/>
      <c r="S467" s="122"/>
      <c r="T467" s="122"/>
      <c r="U467" s="122"/>
      <c r="V467" s="124"/>
      <c r="W467" s="125"/>
      <c r="X467" s="122"/>
      <c r="Y467" s="122"/>
      <c r="Z467" s="122"/>
      <c r="AA467" s="126"/>
      <c r="AB467" s="122"/>
      <c r="AC467" s="122"/>
      <c r="AD467" s="127"/>
      <c r="AE467" s="127"/>
      <c r="AF467" s="127"/>
      <c r="AG467" s="127"/>
      <c r="AH467" s="124"/>
      <c r="AI467" s="127"/>
      <c r="AJ467" s="127"/>
      <c r="AK467" s="126"/>
      <c r="AL467" s="122"/>
      <c r="AM467" s="122"/>
      <c r="AN467" s="122"/>
      <c r="AO467" s="122"/>
      <c r="AP467" s="122"/>
      <c r="AQ467" s="124"/>
    </row>
    <row r="468" spans="1:43" ht="15.75" customHeight="1">
      <c r="A468" s="122"/>
      <c r="B468" s="122"/>
      <c r="C468" s="122"/>
      <c r="D468" s="122"/>
      <c r="E468" s="122"/>
      <c r="F468" s="122"/>
      <c r="G468" s="122"/>
      <c r="H468" s="122"/>
      <c r="I468" s="122"/>
      <c r="J468" s="122"/>
      <c r="K468" s="122"/>
      <c r="L468" s="122"/>
      <c r="M468" s="123"/>
      <c r="N468" s="123"/>
      <c r="O468" s="122"/>
      <c r="P468" s="124"/>
      <c r="Q468" s="122"/>
      <c r="R468" s="122"/>
      <c r="S468" s="122"/>
      <c r="T468" s="122"/>
      <c r="U468" s="122"/>
      <c r="V468" s="124"/>
      <c r="W468" s="125"/>
      <c r="X468" s="122"/>
      <c r="Y468" s="122"/>
      <c r="Z468" s="122"/>
      <c r="AA468" s="126"/>
      <c r="AB468" s="122"/>
      <c r="AC468" s="122"/>
      <c r="AD468" s="127"/>
      <c r="AE468" s="127"/>
      <c r="AF468" s="127"/>
      <c r="AG468" s="127"/>
      <c r="AH468" s="124"/>
      <c r="AI468" s="127"/>
      <c r="AJ468" s="127"/>
      <c r="AK468" s="126"/>
      <c r="AL468" s="122"/>
      <c r="AM468" s="122"/>
      <c r="AN468" s="122"/>
      <c r="AO468" s="122"/>
      <c r="AP468" s="122"/>
      <c r="AQ468" s="124"/>
    </row>
    <row r="469" spans="1:43" ht="15.75" customHeight="1">
      <c r="A469" s="122"/>
      <c r="B469" s="122"/>
      <c r="C469" s="122"/>
      <c r="D469" s="122"/>
      <c r="E469" s="122"/>
      <c r="F469" s="122"/>
      <c r="G469" s="122"/>
      <c r="H469" s="122"/>
      <c r="I469" s="122"/>
      <c r="J469" s="122"/>
      <c r="K469" s="122"/>
      <c r="L469" s="122"/>
      <c r="M469" s="123"/>
      <c r="N469" s="123"/>
      <c r="O469" s="122"/>
      <c r="P469" s="124"/>
      <c r="Q469" s="122"/>
      <c r="R469" s="122"/>
      <c r="S469" s="122"/>
      <c r="T469" s="122"/>
      <c r="U469" s="122"/>
      <c r="V469" s="124"/>
      <c r="W469" s="125"/>
      <c r="X469" s="122"/>
      <c r="Y469" s="122"/>
      <c r="Z469" s="122"/>
      <c r="AA469" s="126"/>
      <c r="AB469" s="122"/>
      <c r="AC469" s="122"/>
      <c r="AD469" s="127"/>
      <c r="AE469" s="127"/>
      <c r="AF469" s="127"/>
      <c r="AG469" s="127"/>
      <c r="AH469" s="124"/>
      <c r="AI469" s="127"/>
      <c r="AJ469" s="127"/>
      <c r="AK469" s="126"/>
      <c r="AL469" s="122"/>
      <c r="AM469" s="122"/>
      <c r="AN469" s="122"/>
      <c r="AO469" s="122"/>
      <c r="AP469" s="122"/>
      <c r="AQ469" s="124"/>
    </row>
    <row r="470" spans="1:43" ht="15.75" customHeight="1">
      <c r="A470" s="122"/>
      <c r="B470" s="122"/>
      <c r="C470" s="122"/>
      <c r="D470" s="122"/>
      <c r="E470" s="122"/>
      <c r="F470" s="122"/>
      <c r="G470" s="122"/>
      <c r="H470" s="122"/>
      <c r="I470" s="122"/>
      <c r="J470" s="122"/>
      <c r="K470" s="122"/>
      <c r="L470" s="122"/>
      <c r="M470" s="123"/>
      <c r="N470" s="123"/>
      <c r="O470" s="122"/>
      <c r="P470" s="124"/>
      <c r="Q470" s="122"/>
      <c r="R470" s="122"/>
      <c r="S470" s="122"/>
      <c r="T470" s="122"/>
      <c r="U470" s="122"/>
      <c r="V470" s="124"/>
      <c r="W470" s="125"/>
      <c r="X470" s="122"/>
      <c r="Y470" s="122"/>
      <c r="Z470" s="122"/>
      <c r="AA470" s="126"/>
      <c r="AB470" s="122"/>
      <c r="AC470" s="122"/>
      <c r="AD470" s="127"/>
      <c r="AE470" s="127"/>
      <c r="AF470" s="127"/>
      <c r="AG470" s="127"/>
      <c r="AH470" s="124"/>
      <c r="AI470" s="127"/>
      <c r="AJ470" s="127"/>
      <c r="AK470" s="126"/>
      <c r="AL470" s="122"/>
      <c r="AM470" s="122"/>
      <c r="AN470" s="122"/>
      <c r="AO470" s="122"/>
      <c r="AP470" s="122"/>
      <c r="AQ470" s="124"/>
    </row>
    <row r="471" spans="1:43" ht="15.75" customHeight="1">
      <c r="A471" s="122"/>
      <c r="B471" s="122"/>
      <c r="C471" s="122"/>
      <c r="D471" s="122"/>
      <c r="E471" s="122"/>
      <c r="F471" s="122"/>
      <c r="G471" s="122"/>
      <c r="H471" s="122"/>
      <c r="I471" s="122"/>
      <c r="J471" s="122"/>
      <c r="K471" s="122"/>
      <c r="L471" s="122"/>
      <c r="M471" s="123"/>
      <c r="N471" s="123"/>
      <c r="O471" s="122"/>
      <c r="P471" s="124"/>
      <c r="Q471" s="122"/>
      <c r="R471" s="122"/>
      <c r="S471" s="122"/>
      <c r="T471" s="122"/>
      <c r="U471" s="122"/>
      <c r="V471" s="124"/>
      <c r="W471" s="125"/>
      <c r="X471" s="122"/>
      <c r="Y471" s="122"/>
      <c r="Z471" s="122"/>
      <c r="AA471" s="126"/>
      <c r="AB471" s="122"/>
      <c r="AC471" s="122"/>
      <c r="AD471" s="127"/>
      <c r="AE471" s="127"/>
      <c r="AF471" s="127"/>
      <c r="AG471" s="127"/>
      <c r="AH471" s="124"/>
      <c r="AI471" s="127"/>
      <c r="AJ471" s="127"/>
      <c r="AK471" s="126"/>
      <c r="AL471" s="122"/>
      <c r="AM471" s="122"/>
      <c r="AN471" s="122"/>
      <c r="AO471" s="122"/>
      <c r="AP471" s="122"/>
      <c r="AQ471" s="124"/>
    </row>
    <row r="472" spans="1:43" ht="15.75" customHeight="1">
      <c r="A472" s="122"/>
      <c r="B472" s="122"/>
      <c r="C472" s="122"/>
      <c r="D472" s="122"/>
      <c r="E472" s="122"/>
      <c r="F472" s="122"/>
      <c r="G472" s="122"/>
      <c r="H472" s="122"/>
      <c r="I472" s="122"/>
      <c r="J472" s="122"/>
      <c r="K472" s="122"/>
      <c r="L472" s="122"/>
      <c r="M472" s="123"/>
      <c r="N472" s="123"/>
      <c r="O472" s="122"/>
      <c r="P472" s="124"/>
      <c r="Q472" s="122"/>
      <c r="R472" s="122"/>
      <c r="S472" s="122"/>
      <c r="T472" s="122"/>
      <c r="U472" s="122"/>
      <c r="V472" s="124"/>
      <c r="W472" s="125"/>
      <c r="X472" s="122"/>
      <c r="Y472" s="122"/>
      <c r="Z472" s="122"/>
      <c r="AA472" s="126"/>
      <c r="AB472" s="122"/>
      <c r="AC472" s="122"/>
      <c r="AD472" s="127"/>
      <c r="AE472" s="127"/>
      <c r="AF472" s="127"/>
      <c r="AG472" s="127"/>
      <c r="AH472" s="124"/>
      <c r="AI472" s="127"/>
      <c r="AJ472" s="127"/>
      <c r="AK472" s="126"/>
      <c r="AL472" s="122"/>
      <c r="AM472" s="122"/>
      <c r="AN472" s="122"/>
      <c r="AO472" s="122"/>
      <c r="AP472" s="122"/>
      <c r="AQ472" s="124"/>
    </row>
    <row r="473" spans="1:43" ht="15.75" customHeight="1">
      <c r="A473" s="122"/>
      <c r="B473" s="122"/>
      <c r="C473" s="122"/>
      <c r="D473" s="122"/>
      <c r="E473" s="122"/>
      <c r="F473" s="122"/>
      <c r="G473" s="122"/>
      <c r="H473" s="122"/>
      <c r="I473" s="122"/>
      <c r="J473" s="122"/>
      <c r="K473" s="122"/>
      <c r="L473" s="122"/>
      <c r="M473" s="123"/>
      <c r="N473" s="123"/>
      <c r="O473" s="122"/>
      <c r="P473" s="124"/>
      <c r="Q473" s="122"/>
      <c r="R473" s="122"/>
      <c r="S473" s="122"/>
      <c r="T473" s="122"/>
      <c r="U473" s="122"/>
      <c r="V473" s="124"/>
      <c r="W473" s="125"/>
      <c r="X473" s="122"/>
      <c r="Y473" s="122"/>
      <c r="Z473" s="122"/>
      <c r="AA473" s="126"/>
      <c r="AB473" s="122"/>
      <c r="AC473" s="122"/>
      <c r="AD473" s="127"/>
      <c r="AE473" s="127"/>
      <c r="AF473" s="127"/>
      <c r="AG473" s="127"/>
      <c r="AH473" s="124"/>
      <c r="AI473" s="127"/>
      <c r="AJ473" s="127"/>
      <c r="AK473" s="126"/>
      <c r="AL473" s="122"/>
      <c r="AM473" s="122"/>
      <c r="AN473" s="122"/>
      <c r="AO473" s="122"/>
      <c r="AP473" s="122"/>
      <c r="AQ473" s="124"/>
    </row>
    <row r="474" spans="1:43" ht="15.75" customHeight="1">
      <c r="A474" s="122"/>
      <c r="B474" s="122"/>
      <c r="C474" s="122"/>
      <c r="D474" s="122"/>
      <c r="E474" s="122"/>
      <c r="F474" s="122"/>
      <c r="G474" s="122"/>
      <c r="H474" s="122"/>
      <c r="I474" s="122"/>
      <c r="J474" s="122"/>
      <c r="K474" s="122"/>
      <c r="L474" s="122"/>
      <c r="M474" s="123"/>
      <c r="N474" s="123"/>
      <c r="O474" s="122"/>
      <c r="P474" s="124"/>
      <c r="Q474" s="122"/>
      <c r="R474" s="122"/>
      <c r="S474" s="122"/>
      <c r="T474" s="122"/>
      <c r="U474" s="122"/>
      <c r="V474" s="124"/>
      <c r="W474" s="125"/>
      <c r="X474" s="122"/>
      <c r="Y474" s="122"/>
      <c r="Z474" s="122"/>
      <c r="AA474" s="126"/>
      <c r="AB474" s="122"/>
      <c r="AC474" s="122"/>
      <c r="AD474" s="127"/>
      <c r="AE474" s="127"/>
      <c r="AF474" s="127"/>
      <c r="AG474" s="127"/>
      <c r="AH474" s="124"/>
      <c r="AI474" s="127"/>
      <c r="AJ474" s="127"/>
      <c r="AK474" s="126"/>
      <c r="AL474" s="122"/>
      <c r="AM474" s="122"/>
      <c r="AN474" s="122"/>
      <c r="AO474" s="122"/>
      <c r="AP474" s="122"/>
      <c r="AQ474" s="124"/>
    </row>
    <row r="475" spans="1:43" ht="15.75" customHeight="1">
      <c r="A475" s="122"/>
      <c r="B475" s="122"/>
      <c r="C475" s="122"/>
      <c r="D475" s="122"/>
      <c r="E475" s="122"/>
      <c r="F475" s="122"/>
      <c r="G475" s="122"/>
      <c r="H475" s="122"/>
      <c r="I475" s="122"/>
      <c r="J475" s="122"/>
      <c r="K475" s="122"/>
      <c r="L475" s="122"/>
      <c r="M475" s="123"/>
      <c r="N475" s="123"/>
      <c r="O475" s="122"/>
      <c r="P475" s="124"/>
      <c r="Q475" s="122"/>
      <c r="R475" s="122"/>
      <c r="S475" s="122"/>
      <c r="T475" s="122"/>
      <c r="U475" s="122"/>
      <c r="V475" s="124"/>
      <c r="W475" s="125"/>
      <c r="X475" s="122"/>
      <c r="Y475" s="122"/>
      <c r="Z475" s="122"/>
      <c r="AA475" s="126"/>
      <c r="AB475" s="122"/>
      <c r="AC475" s="122"/>
      <c r="AD475" s="127"/>
      <c r="AE475" s="127"/>
      <c r="AF475" s="127"/>
      <c r="AG475" s="127"/>
      <c r="AH475" s="124"/>
      <c r="AI475" s="127"/>
      <c r="AJ475" s="127"/>
      <c r="AK475" s="126"/>
      <c r="AL475" s="122"/>
      <c r="AM475" s="122"/>
      <c r="AN475" s="122"/>
      <c r="AO475" s="122"/>
      <c r="AP475" s="122"/>
      <c r="AQ475" s="124"/>
    </row>
    <row r="476" spans="1:43" ht="15.75" customHeight="1">
      <c r="A476" s="122"/>
      <c r="B476" s="122"/>
      <c r="C476" s="122"/>
      <c r="D476" s="122"/>
      <c r="E476" s="122"/>
      <c r="F476" s="122"/>
      <c r="G476" s="122"/>
      <c r="H476" s="122"/>
      <c r="I476" s="122"/>
      <c r="J476" s="122"/>
      <c r="K476" s="122"/>
      <c r="L476" s="122"/>
      <c r="M476" s="123"/>
      <c r="N476" s="123"/>
      <c r="O476" s="122"/>
      <c r="P476" s="124"/>
      <c r="Q476" s="122"/>
      <c r="R476" s="122"/>
      <c r="S476" s="122"/>
      <c r="T476" s="122"/>
      <c r="U476" s="122"/>
      <c r="V476" s="124"/>
      <c r="W476" s="125"/>
      <c r="X476" s="122"/>
      <c r="Y476" s="122"/>
      <c r="Z476" s="122"/>
      <c r="AA476" s="126"/>
      <c r="AB476" s="122"/>
      <c r="AC476" s="122"/>
      <c r="AD476" s="127"/>
      <c r="AE476" s="127"/>
      <c r="AF476" s="127"/>
      <c r="AG476" s="127"/>
      <c r="AH476" s="124"/>
      <c r="AI476" s="127"/>
      <c r="AJ476" s="127"/>
      <c r="AK476" s="126"/>
      <c r="AL476" s="122"/>
      <c r="AM476" s="122"/>
      <c r="AN476" s="122"/>
      <c r="AO476" s="122"/>
      <c r="AP476" s="122"/>
      <c r="AQ476" s="124"/>
    </row>
    <row r="477" spans="1:43" ht="15.75" customHeight="1">
      <c r="A477" s="122"/>
      <c r="B477" s="122"/>
      <c r="C477" s="122"/>
      <c r="D477" s="122"/>
      <c r="E477" s="122"/>
      <c r="F477" s="122"/>
      <c r="G477" s="122"/>
      <c r="H477" s="122"/>
      <c r="I477" s="122"/>
      <c r="J477" s="122"/>
      <c r="K477" s="122"/>
      <c r="L477" s="122"/>
      <c r="M477" s="123"/>
      <c r="N477" s="123"/>
      <c r="O477" s="122"/>
      <c r="P477" s="124"/>
      <c r="Q477" s="122"/>
      <c r="R477" s="122"/>
      <c r="S477" s="122"/>
      <c r="T477" s="122"/>
      <c r="U477" s="122"/>
      <c r="V477" s="124"/>
      <c r="W477" s="125"/>
      <c r="X477" s="122"/>
      <c r="Y477" s="122"/>
      <c r="Z477" s="122"/>
      <c r="AA477" s="126"/>
      <c r="AB477" s="122"/>
      <c r="AC477" s="122"/>
      <c r="AD477" s="127"/>
      <c r="AE477" s="127"/>
      <c r="AF477" s="127"/>
      <c r="AG477" s="127"/>
      <c r="AH477" s="124"/>
      <c r="AI477" s="127"/>
      <c r="AJ477" s="127"/>
      <c r="AK477" s="126"/>
      <c r="AL477" s="122"/>
      <c r="AM477" s="122"/>
      <c r="AN477" s="122"/>
      <c r="AO477" s="122"/>
      <c r="AP477" s="122"/>
      <c r="AQ477" s="124"/>
    </row>
    <row r="478" spans="1:43" ht="15.75" customHeight="1">
      <c r="A478" s="122"/>
      <c r="B478" s="122"/>
      <c r="C478" s="122"/>
      <c r="D478" s="122"/>
      <c r="E478" s="122"/>
      <c r="F478" s="122"/>
      <c r="G478" s="122"/>
      <c r="H478" s="122"/>
      <c r="I478" s="122"/>
      <c r="J478" s="122"/>
      <c r="K478" s="122"/>
      <c r="L478" s="122"/>
      <c r="M478" s="123"/>
      <c r="N478" s="123"/>
      <c r="O478" s="122"/>
      <c r="P478" s="124"/>
      <c r="Q478" s="122"/>
      <c r="R478" s="122"/>
      <c r="S478" s="122"/>
      <c r="T478" s="122"/>
      <c r="U478" s="122"/>
      <c r="V478" s="124"/>
      <c r="W478" s="125"/>
      <c r="X478" s="122"/>
      <c r="Y478" s="122"/>
      <c r="Z478" s="122"/>
      <c r="AA478" s="126"/>
      <c r="AB478" s="122"/>
      <c r="AC478" s="122"/>
      <c r="AD478" s="127"/>
      <c r="AE478" s="127"/>
      <c r="AF478" s="127"/>
      <c r="AG478" s="127"/>
      <c r="AH478" s="124"/>
      <c r="AI478" s="127"/>
      <c r="AJ478" s="127"/>
      <c r="AK478" s="126"/>
      <c r="AL478" s="122"/>
      <c r="AM478" s="122"/>
      <c r="AN478" s="122"/>
      <c r="AO478" s="122"/>
      <c r="AP478" s="122"/>
      <c r="AQ478" s="124"/>
    </row>
    <row r="479" spans="1:43" ht="15.75" customHeight="1">
      <c r="A479" s="122"/>
      <c r="B479" s="122"/>
      <c r="C479" s="122"/>
      <c r="D479" s="122"/>
      <c r="E479" s="122"/>
      <c r="F479" s="122"/>
      <c r="G479" s="122"/>
      <c r="H479" s="122"/>
      <c r="I479" s="122"/>
      <c r="J479" s="122"/>
      <c r="K479" s="122"/>
      <c r="L479" s="122"/>
      <c r="M479" s="123"/>
      <c r="N479" s="123"/>
      <c r="O479" s="122"/>
      <c r="P479" s="124"/>
      <c r="Q479" s="122"/>
      <c r="R479" s="122"/>
      <c r="S479" s="122"/>
      <c r="T479" s="122"/>
      <c r="U479" s="122"/>
      <c r="V479" s="124"/>
      <c r="W479" s="125"/>
      <c r="X479" s="122"/>
      <c r="Y479" s="122"/>
      <c r="Z479" s="122"/>
      <c r="AA479" s="126"/>
      <c r="AB479" s="122"/>
      <c r="AC479" s="122"/>
      <c r="AD479" s="127"/>
      <c r="AE479" s="127"/>
      <c r="AF479" s="127"/>
      <c r="AG479" s="127"/>
      <c r="AH479" s="124"/>
      <c r="AI479" s="127"/>
      <c r="AJ479" s="127"/>
      <c r="AK479" s="126"/>
      <c r="AL479" s="122"/>
      <c r="AM479" s="122"/>
      <c r="AN479" s="122"/>
      <c r="AO479" s="122"/>
      <c r="AP479" s="122"/>
      <c r="AQ479" s="124"/>
    </row>
    <row r="480" spans="1:43" ht="15.75" customHeight="1">
      <c r="A480" s="122"/>
      <c r="B480" s="122"/>
      <c r="C480" s="122"/>
      <c r="D480" s="122"/>
      <c r="E480" s="122"/>
      <c r="F480" s="122"/>
      <c r="G480" s="122"/>
      <c r="H480" s="122"/>
      <c r="I480" s="122"/>
      <c r="J480" s="122"/>
      <c r="K480" s="122"/>
      <c r="L480" s="122"/>
      <c r="M480" s="123"/>
      <c r="N480" s="123"/>
      <c r="O480" s="122"/>
      <c r="P480" s="124"/>
      <c r="Q480" s="122"/>
      <c r="R480" s="122"/>
      <c r="S480" s="122"/>
      <c r="T480" s="122"/>
      <c r="U480" s="122"/>
      <c r="V480" s="124"/>
      <c r="W480" s="125"/>
      <c r="X480" s="122"/>
      <c r="Y480" s="122"/>
      <c r="Z480" s="122"/>
      <c r="AA480" s="126"/>
      <c r="AB480" s="122"/>
      <c r="AC480" s="122"/>
      <c r="AD480" s="127"/>
      <c r="AE480" s="127"/>
      <c r="AF480" s="127"/>
      <c r="AG480" s="127"/>
      <c r="AH480" s="124"/>
      <c r="AI480" s="127"/>
      <c r="AJ480" s="127"/>
      <c r="AK480" s="126"/>
      <c r="AL480" s="122"/>
      <c r="AM480" s="122"/>
      <c r="AN480" s="122"/>
      <c r="AO480" s="122"/>
      <c r="AP480" s="122"/>
      <c r="AQ480" s="124"/>
    </row>
    <row r="481" spans="1:43" ht="15.75" customHeight="1">
      <c r="A481" s="122"/>
      <c r="B481" s="122"/>
      <c r="C481" s="122"/>
      <c r="D481" s="122"/>
      <c r="E481" s="122"/>
      <c r="F481" s="122"/>
      <c r="G481" s="122"/>
      <c r="H481" s="122"/>
      <c r="I481" s="122"/>
      <c r="J481" s="122"/>
      <c r="K481" s="122"/>
      <c r="L481" s="122"/>
      <c r="M481" s="123"/>
      <c r="N481" s="123"/>
      <c r="O481" s="122"/>
      <c r="P481" s="124"/>
      <c r="Q481" s="122"/>
      <c r="R481" s="122"/>
      <c r="S481" s="122"/>
      <c r="T481" s="122"/>
      <c r="U481" s="122"/>
      <c r="V481" s="124"/>
      <c r="W481" s="125"/>
      <c r="X481" s="122"/>
      <c r="Y481" s="122"/>
      <c r="Z481" s="122"/>
      <c r="AA481" s="126"/>
      <c r="AB481" s="122"/>
      <c r="AC481" s="122"/>
      <c r="AD481" s="127"/>
      <c r="AE481" s="127"/>
      <c r="AF481" s="127"/>
      <c r="AG481" s="127"/>
      <c r="AH481" s="124"/>
      <c r="AI481" s="127"/>
      <c r="AJ481" s="127"/>
      <c r="AK481" s="126"/>
      <c r="AL481" s="122"/>
      <c r="AM481" s="122"/>
      <c r="AN481" s="122"/>
      <c r="AO481" s="122"/>
      <c r="AP481" s="122"/>
      <c r="AQ481" s="124"/>
    </row>
    <row r="482" spans="1:43" ht="15.75" customHeight="1">
      <c r="A482" s="122"/>
      <c r="B482" s="122"/>
      <c r="C482" s="122"/>
      <c r="D482" s="122"/>
      <c r="E482" s="122"/>
      <c r="F482" s="122"/>
      <c r="G482" s="122"/>
      <c r="H482" s="122"/>
      <c r="I482" s="122"/>
      <c r="J482" s="122"/>
      <c r="K482" s="122"/>
      <c r="L482" s="122"/>
      <c r="M482" s="123"/>
      <c r="N482" s="123"/>
      <c r="O482" s="122"/>
      <c r="P482" s="124"/>
      <c r="Q482" s="122"/>
      <c r="R482" s="122"/>
      <c r="S482" s="122"/>
      <c r="T482" s="122"/>
      <c r="U482" s="122"/>
      <c r="V482" s="124"/>
      <c r="W482" s="125"/>
      <c r="X482" s="122"/>
      <c r="Y482" s="122"/>
      <c r="Z482" s="122"/>
      <c r="AA482" s="126"/>
      <c r="AB482" s="122"/>
      <c r="AC482" s="122"/>
      <c r="AD482" s="127"/>
      <c r="AE482" s="127"/>
      <c r="AF482" s="127"/>
      <c r="AG482" s="127"/>
      <c r="AH482" s="124"/>
      <c r="AI482" s="127"/>
      <c r="AJ482" s="127"/>
      <c r="AK482" s="126"/>
      <c r="AL482" s="122"/>
      <c r="AM482" s="122"/>
      <c r="AN482" s="122"/>
      <c r="AO482" s="122"/>
      <c r="AP482" s="122"/>
      <c r="AQ482" s="124"/>
    </row>
    <row r="483" spans="1:43" ht="15.75" customHeight="1">
      <c r="A483" s="122"/>
      <c r="B483" s="122"/>
      <c r="C483" s="122"/>
      <c r="D483" s="122"/>
      <c r="E483" s="122"/>
      <c r="F483" s="122"/>
      <c r="G483" s="122"/>
      <c r="H483" s="122"/>
      <c r="I483" s="122"/>
      <c r="J483" s="122"/>
      <c r="K483" s="122"/>
      <c r="L483" s="122"/>
      <c r="M483" s="123"/>
      <c r="N483" s="123"/>
      <c r="O483" s="122"/>
      <c r="P483" s="124"/>
      <c r="Q483" s="122"/>
      <c r="R483" s="122"/>
      <c r="S483" s="122"/>
      <c r="T483" s="122"/>
      <c r="U483" s="122"/>
      <c r="V483" s="124"/>
      <c r="W483" s="125"/>
      <c r="X483" s="122"/>
      <c r="Y483" s="122"/>
      <c r="Z483" s="122"/>
      <c r="AA483" s="126"/>
      <c r="AB483" s="122"/>
      <c r="AC483" s="122"/>
      <c r="AD483" s="127"/>
      <c r="AE483" s="127"/>
      <c r="AF483" s="127"/>
      <c r="AG483" s="127"/>
      <c r="AH483" s="124"/>
      <c r="AI483" s="127"/>
      <c r="AJ483" s="127"/>
      <c r="AK483" s="126"/>
      <c r="AL483" s="122"/>
      <c r="AM483" s="122"/>
      <c r="AN483" s="122"/>
      <c r="AO483" s="122"/>
      <c r="AP483" s="122"/>
      <c r="AQ483" s="124"/>
    </row>
    <row r="484" spans="1:43" ht="15.75" customHeight="1">
      <c r="A484" s="122"/>
      <c r="B484" s="122"/>
      <c r="C484" s="122"/>
      <c r="D484" s="122"/>
      <c r="E484" s="122"/>
      <c r="F484" s="122"/>
      <c r="G484" s="122"/>
      <c r="H484" s="122"/>
      <c r="I484" s="122"/>
      <c r="J484" s="122"/>
      <c r="K484" s="122"/>
      <c r="L484" s="122"/>
      <c r="M484" s="123"/>
      <c r="N484" s="123"/>
      <c r="O484" s="122"/>
      <c r="P484" s="124"/>
      <c r="Q484" s="122"/>
      <c r="R484" s="122"/>
      <c r="S484" s="122"/>
      <c r="T484" s="122"/>
      <c r="U484" s="122"/>
      <c r="V484" s="124"/>
      <c r="W484" s="125"/>
      <c r="X484" s="122"/>
      <c r="Y484" s="122"/>
      <c r="Z484" s="122"/>
      <c r="AA484" s="126"/>
      <c r="AB484" s="122"/>
      <c r="AC484" s="122"/>
      <c r="AD484" s="127"/>
      <c r="AE484" s="127"/>
      <c r="AF484" s="127"/>
      <c r="AG484" s="127"/>
      <c r="AH484" s="124"/>
      <c r="AI484" s="127"/>
      <c r="AJ484" s="127"/>
      <c r="AK484" s="126"/>
      <c r="AL484" s="122"/>
      <c r="AM484" s="122"/>
      <c r="AN484" s="122"/>
      <c r="AO484" s="122"/>
      <c r="AP484" s="122"/>
      <c r="AQ484" s="124"/>
    </row>
    <row r="485" spans="1:43" ht="15.75" customHeight="1">
      <c r="A485" s="122"/>
      <c r="B485" s="122"/>
      <c r="C485" s="122"/>
      <c r="D485" s="122"/>
      <c r="E485" s="122"/>
      <c r="F485" s="122"/>
      <c r="G485" s="122"/>
      <c r="H485" s="122"/>
      <c r="I485" s="122"/>
      <c r="J485" s="122"/>
      <c r="K485" s="122"/>
      <c r="L485" s="122"/>
      <c r="M485" s="123"/>
      <c r="N485" s="123"/>
      <c r="O485" s="122"/>
      <c r="P485" s="124"/>
      <c r="Q485" s="122"/>
      <c r="R485" s="122"/>
      <c r="S485" s="122"/>
      <c r="T485" s="122"/>
      <c r="U485" s="122"/>
      <c r="V485" s="124"/>
      <c r="W485" s="125"/>
      <c r="X485" s="122"/>
      <c r="Y485" s="122"/>
      <c r="Z485" s="122"/>
      <c r="AA485" s="126"/>
      <c r="AB485" s="122"/>
      <c r="AC485" s="122"/>
      <c r="AD485" s="127"/>
      <c r="AE485" s="127"/>
      <c r="AF485" s="127"/>
      <c r="AG485" s="127"/>
      <c r="AH485" s="124"/>
      <c r="AI485" s="127"/>
      <c r="AJ485" s="127"/>
      <c r="AK485" s="126"/>
      <c r="AL485" s="122"/>
      <c r="AM485" s="122"/>
      <c r="AN485" s="122"/>
      <c r="AO485" s="122"/>
      <c r="AP485" s="122"/>
      <c r="AQ485" s="124"/>
    </row>
    <row r="486" spans="1:43" ht="15.75" customHeight="1">
      <c r="A486" s="122"/>
      <c r="B486" s="122"/>
      <c r="C486" s="122"/>
      <c r="D486" s="122"/>
      <c r="E486" s="122"/>
      <c r="F486" s="122"/>
      <c r="G486" s="122"/>
      <c r="H486" s="122"/>
      <c r="I486" s="122"/>
      <c r="J486" s="122"/>
      <c r="K486" s="122"/>
      <c r="L486" s="122"/>
      <c r="M486" s="123"/>
      <c r="N486" s="123"/>
      <c r="O486" s="122"/>
      <c r="P486" s="124"/>
      <c r="Q486" s="122"/>
      <c r="R486" s="122"/>
      <c r="S486" s="122"/>
      <c r="T486" s="122"/>
      <c r="U486" s="122"/>
      <c r="V486" s="124"/>
      <c r="W486" s="125"/>
      <c r="X486" s="122"/>
      <c r="Y486" s="122"/>
      <c r="Z486" s="122"/>
      <c r="AA486" s="126"/>
      <c r="AB486" s="122"/>
      <c r="AC486" s="122"/>
      <c r="AD486" s="127"/>
      <c r="AE486" s="127"/>
      <c r="AF486" s="127"/>
      <c r="AG486" s="127"/>
      <c r="AH486" s="124"/>
      <c r="AI486" s="127"/>
      <c r="AJ486" s="127"/>
      <c r="AK486" s="126"/>
      <c r="AL486" s="122"/>
      <c r="AM486" s="122"/>
      <c r="AN486" s="122"/>
      <c r="AO486" s="122"/>
      <c r="AP486" s="122"/>
      <c r="AQ486" s="124"/>
    </row>
    <row r="487" spans="1:43" ht="15.75" customHeight="1">
      <c r="A487" s="122"/>
      <c r="B487" s="122"/>
      <c r="C487" s="122"/>
      <c r="D487" s="122"/>
      <c r="E487" s="122"/>
      <c r="F487" s="122"/>
      <c r="G487" s="122"/>
      <c r="H487" s="122"/>
      <c r="I487" s="122"/>
      <c r="J487" s="122"/>
      <c r="K487" s="122"/>
      <c r="L487" s="122"/>
      <c r="M487" s="123"/>
      <c r="N487" s="123"/>
      <c r="O487" s="122"/>
      <c r="P487" s="124"/>
      <c r="Q487" s="122"/>
      <c r="R487" s="122"/>
      <c r="S487" s="122"/>
      <c r="T487" s="122"/>
      <c r="U487" s="122"/>
      <c r="V487" s="124"/>
      <c r="W487" s="125"/>
      <c r="X487" s="122"/>
      <c r="Y487" s="122"/>
      <c r="Z487" s="122"/>
      <c r="AA487" s="126"/>
      <c r="AB487" s="122"/>
      <c r="AC487" s="122"/>
      <c r="AD487" s="127"/>
      <c r="AE487" s="127"/>
      <c r="AF487" s="127"/>
      <c r="AG487" s="127"/>
      <c r="AH487" s="124"/>
      <c r="AI487" s="127"/>
      <c r="AJ487" s="127"/>
      <c r="AK487" s="126"/>
      <c r="AL487" s="122"/>
      <c r="AM487" s="122"/>
      <c r="AN487" s="122"/>
      <c r="AO487" s="122"/>
      <c r="AP487" s="122"/>
      <c r="AQ487" s="124"/>
    </row>
    <row r="488" spans="1:43" ht="15.75" customHeight="1">
      <c r="A488" s="122"/>
      <c r="B488" s="122"/>
      <c r="C488" s="122"/>
      <c r="D488" s="122"/>
      <c r="E488" s="122"/>
      <c r="F488" s="122"/>
      <c r="G488" s="122"/>
      <c r="H488" s="122"/>
      <c r="I488" s="122"/>
      <c r="J488" s="122"/>
      <c r="K488" s="122"/>
      <c r="L488" s="122"/>
      <c r="M488" s="123"/>
      <c r="N488" s="123"/>
      <c r="O488" s="122"/>
      <c r="P488" s="124"/>
      <c r="Q488" s="122"/>
      <c r="R488" s="122"/>
      <c r="S488" s="122"/>
      <c r="T488" s="122"/>
      <c r="U488" s="122"/>
      <c r="V488" s="124"/>
      <c r="W488" s="125"/>
      <c r="X488" s="122"/>
      <c r="Y488" s="122"/>
      <c r="Z488" s="122"/>
      <c r="AA488" s="126"/>
      <c r="AB488" s="122"/>
      <c r="AC488" s="122"/>
      <c r="AD488" s="127"/>
      <c r="AE488" s="127"/>
      <c r="AF488" s="127"/>
      <c r="AG488" s="127"/>
      <c r="AH488" s="124"/>
      <c r="AI488" s="127"/>
      <c r="AJ488" s="127"/>
      <c r="AK488" s="126"/>
      <c r="AL488" s="122"/>
      <c r="AM488" s="122"/>
      <c r="AN488" s="122"/>
      <c r="AO488" s="122"/>
      <c r="AP488" s="122"/>
      <c r="AQ488" s="124"/>
    </row>
    <row r="489" spans="1:43" ht="15.75" customHeight="1">
      <c r="A489" s="122"/>
      <c r="B489" s="122"/>
      <c r="C489" s="122"/>
      <c r="D489" s="122"/>
      <c r="E489" s="122"/>
      <c r="F489" s="122"/>
      <c r="G489" s="122"/>
      <c r="H489" s="122"/>
      <c r="I489" s="122"/>
      <c r="J489" s="122"/>
      <c r="K489" s="122"/>
      <c r="L489" s="122"/>
      <c r="M489" s="123"/>
      <c r="N489" s="123"/>
      <c r="O489" s="122"/>
      <c r="P489" s="124"/>
      <c r="Q489" s="122"/>
      <c r="R489" s="122"/>
      <c r="S489" s="122"/>
      <c r="T489" s="122"/>
      <c r="U489" s="122"/>
      <c r="V489" s="124"/>
      <c r="W489" s="125"/>
      <c r="X489" s="122"/>
      <c r="Y489" s="122"/>
      <c r="Z489" s="122"/>
      <c r="AA489" s="126"/>
      <c r="AB489" s="122"/>
      <c r="AC489" s="122"/>
      <c r="AD489" s="127"/>
      <c r="AE489" s="127"/>
      <c r="AF489" s="127"/>
      <c r="AG489" s="127"/>
      <c r="AH489" s="124"/>
      <c r="AI489" s="127"/>
      <c r="AJ489" s="127"/>
      <c r="AK489" s="126"/>
      <c r="AL489" s="122"/>
      <c r="AM489" s="122"/>
      <c r="AN489" s="122"/>
      <c r="AO489" s="122"/>
      <c r="AP489" s="122"/>
      <c r="AQ489" s="124"/>
    </row>
    <row r="490" spans="1:43" ht="15.75" customHeight="1">
      <c r="A490" s="122"/>
      <c r="B490" s="122"/>
      <c r="C490" s="122"/>
      <c r="D490" s="122"/>
      <c r="E490" s="122"/>
      <c r="F490" s="122"/>
      <c r="G490" s="122"/>
      <c r="H490" s="122"/>
      <c r="I490" s="122"/>
      <c r="J490" s="122"/>
      <c r="K490" s="122"/>
      <c r="L490" s="122"/>
      <c r="M490" s="123"/>
      <c r="N490" s="123"/>
      <c r="O490" s="122"/>
      <c r="P490" s="124"/>
      <c r="Q490" s="122"/>
      <c r="R490" s="122"/>
      <c r="S490" s="122"/>
      <c r="T490" s="122"/>
      <c r="U490" s="122"/>
      <c r="V490" s="124"/>
      <c r="W490" s="125"/>
      <c r="X490" s="122"/>
      <c r="Y490" s="122"/>
      <c r="Z490" s="122"/>
      <c r="AA490" s="126"/>
      <c r="AB490" s="122"/>
      <c r="AC490" s="122"/>
      <c r="AD490" s="127"/>
      <c r="AE490" s="127"/>
      <c r="AF490" s="127"/>
      <c r="AG490" s="127"/>
      <c r="AH490" s="124"/>
      <c r="AI490" s="127"/>
      <c r="AJ490" s="127"/>
      <c r="AK490" s="126"/>
      <c r="AL490" s="122"/>
      <c r="AM490" s="122"/>
      <c r="AN490" s="122"/>
      <c r="AO490" s="122"/>
      <c r="AP490" s="122"/>
      <c r="AQ490" s="124"/>
    </row>
    <row r="491" spans="1:43" ht="15.75" customHeight="1">
      <c r="A491" s="122"/>
      <c r="B491" s="122"/>
      <c r="C491" s="122"/>
      <c r="D491" s="122"/>
      <c r="E491" s="122"/>
      <c r="F491" s="122"/>
      <c r="G491" s="122"/>
      <c r="H491" s="122"/>
      <c r="I491" s="122"/>
      <c r="J491" s="122"/>
      <c r="K491" s="122"/>
      <c r="L491" s="122"/>
      <c r="M491" s="123"/>
      <c r="N491" s="123"/>
      <c r="O491" s="122"/>
      <c r="P491" s="124"/>
      <c r="Q491" s="122"/>
      <c r="R491" s="122"/>
      <c r="S491" s="122"/>
      <c r="T491" s="122"/>
      <c r="U491" s="122"/>
      <c r="V491" s="124"/>
      <c r="W491" s="125"/>
      <c r="X491" s="122"/>
      <c r="Y491" s="122"/>
      <c r="Z491" s="122"/>
      <c r="AA491" s="126"/>
      <c r="AB491" s="122"/>
      <c r="AC491" s="122"/>
      <c r="AD491" s="127"/>
      <c r="AE491" s="127"/>
      <c r="AF491" s="127"/>
      <c r="AG491" s="127"/>
      <c r="AH491" s="124"/>
      <c r="AI491" s="127"/>
      <c r="AJ491" s="127"/>
      <c r="AK491" s="126"/>
      <c r="AL491" s="122"/>
      <c r="AM491" s="122"/>
      <c r="AN491" s="122"/>
      <c r="AO491" s="122"/>
      <c r="AP491" s="122"/>
      <c r="AQ491" s="124"/>
    </row>
    <row r="492" spans="1:43" ht="15.75" customHeight="1">
      <c r="A492" s="122"/>
      <c r="B492" s="122"/>
      <c r="C492" s="122"/>
      <c r="D492" s="122"/>
      <c r="E492" s="122"/>
      <c r="F492" s="122"/>
      <c r="G492" s="122"/>
      <c r="H492" s="122"/>
      <c r="I492" s="122"/>
      <c r="J492" s="122"/>
      <c r="K492" s="122"/>
      <c r="L492" s="122"/>
      <c r="M492" s="123"/>
      <c r="N492" s="123"/>
      <c r="O492" s="122"/>
      <c r="P492" s="124"/>
      <c r="Q492" s="122"/>
      <c r="R492" s="122"/>
      <c r="S492" s="122"/>
      <c r="T492" s="122"/>
      <c r="U492" s="122"/>
      <c r="V492" s="124"/>
      <c r="W492" s="125"/>
      <c r="X492" s="122"/>
      <c r="Y492" s="122"/>
      <c r="Z492" s="122"/>
      <c r="AA492" s="126"/>
      <c r="AB492" s="122"/>
      <c r="AC492" s="122"/>
      <c r="AD492" s="127"/>
      <c r="AE492" s="127"/>
      <c r="AF492" s="127"/>
      <c r="AG492" s="127"/>
      <c r="AH492" s="124"/>
      <c r="AI492" s="127"/>
      <c r="AJ492" s="127"/>
      <c r="AK492" s="126"/>
      <c r="AL492" s="122"/>
      <c r="AM492" s="122"/>
      <c r="AN492" s="122"/>
      <c r="AO492" s="122"/>
      <c r="AP492" s="122"/>
      <c r="AQ492" s="124"/>
    </row>
    <row r="493" spans="1:43" ht="15.75" customHeight="1">
      <c r="A493" s="122"/>
      <c r="B493" s="122"/>
      <c r="C493" s="122"/>
      <c r="D493" s="122"/>
      <c r="E493" s="122"/>
      <c r="F493" s="122"/>
      <c r="G493" s="122"/>
      <c r="H493" s="122"/>
      <c r="I493" s="122"/>
      <c r="J493" s="122"/>
      <c r="K493" s="122"/>
      <c r="L493" s="122"/>
      <c r="M493" s="123"/>
      <c r="N493" s="123"/>
      <c r="O493" s="122"/>
      <c r="P493" s="124"/>
      <c r="Q493" s="122"/>
      <c r="R493" s="122"/>
      <c r="S493" s="122"/>
      <c r="T493" s="122"/>
      <c r="U493" s="122"/>
      <c r="V493" s="124"/>
      <c r="W493" s="125"/>
      <c r="X493" s="122"/>
      <c r="Y493" s="122"/>
      <c r="Z493" s="122"/>
      <c r="AA493" s="126"/>
      <c r="AB493" s="122"/>
      <c r="AC493" s="122"/>
      <c r="AD493" s="127"/>
      <c r="AE493" s="127"/>
      <c r="AF493" s="127"/>
      <c r="AG493" s="127"/>
      <c r="AH493" s="124"/>
      <c r="AI493" s="127"/>
      <c r="AJ493" s="127"/>
      <c r="AK493" s="126"/>
      <c r="AL493" s="122"/>
      <c r="AM493" s="122"/>
      <c r="AN493" s="122"/>
      <c r="AO493" s="122"/>
      <c r="AP493" s="122"/>
      <c r="AQ493" s="124"/>
    </row>
    <row r="494" spans="1:43" ht="15.75" customHeight="1">
      <c r="A494" s="122"/>
      <c r="B494" s="122"/>
      <c r="C494" s="122"/>
      <c r="D494" s="122"/>
      <c r="E494" s="122"/>
      <c r="F494" s="122"/>
      <c r="G494" s="122"/>
      <c r="H494" s="122"/>
      <c r="I494" s="122"/>
      <c r="J494" s="122"/>
      <c r="K494" s="122"/>
      <c r="L494" s="122"/>
      <c r="M494" s="123"/>
      <c r="N494" s="123"/>
      <c r="O494" s="122"/>
      <c r="P494" s="124"/>
      <c r="Q494" s="122"/>
      <c r="R494" s="122"/>
      <c r="S494" s="122"/>
      <c r="T494" s="122"/>
      <c r="U494" s="122"/>
      <c r="V494" s="124"/>
      <c r="W494" s="125"/>
      <c r="X494" s="122"/>
      <c r="Y494" s="122"/>
      <c r="Z494" s="122"/>
      <c r="AA494" s="126"/>
      <c r="AB494" s="122"/>
      <c r="AC494" s="122"/>
      <c r="AD494" s="127"/>
      <c r="AE494" s="127"/>
      <c r="AF494" s="127"/>
      <c r="AG494" s="127"/>
      <c r="AH494" s="124"/>
      <c r="AI494" s="127"/>
      <c r="AJ494" s="127"/>
      <c r="AK494" s="126"/>
      <c r="AL494" s="122"/>
      <c r="AM494" s="122"/>
      <c r="AN494" s="122"/>
      <c r="AO494" s="122"/>
      <c r="AP494" s="122"/>
      <c r="AQ494" s="124"/>
    </row>
    <row r="495" spans="1:43" ht="15.75" customHeight="1">
      <c r="A495" s="122"/>
      <c r="B495" s="122"/>
      <c r="C495" s="122"/>
      <c r="D495" s="122"/>
      <c r="E495" s="122"/>
      <c r="F495" s="122"/>
      <c r="G495" s="122"/>
      <c r="H495" s="122"/>
      <c r="I495" s="122"/>
      <c r="J495" s="122"/>
      <c r="K495" s="122"/>
      <c r="L495" s="122"/>
      <c r="M495" s="123"/>
      <c r="N495" s="123"/>
      <c r="O495" s="122"/>
      <c r="P495" s="124"/>
      <c r="Q495" s="122"/>
      <c r="R495" s="122"/>
      <c r="S495" s="122"/>
      <c r="T495" s="122"/>
      <c r="U495" s="122"/>
      <c r="V495" s="124"/>
      <c r="W495" s="125"/>
      <c r="X495" s="122"/>
      <c r="Y495" s="122"/>
      <c r="Z495" s="122"/>
      <c r="AA495" s="126"/>
      <c r="AB495" s="122"/>
      <c r="AC495" s="122"/>
      <c r="AD495" s="127"/>
      <c r="AE495" s="127"/>
      <c r="AF495" s="127"/>
      <c r="AG495" s="127"/>
      <c r="AH495" s="124"/>
      <c r="AI495" s="127"/>
      <c r="AJ495" s="127"/>
      <c r="AK495" s="126"/>
      <c r="AL495" s="122"/>
      <c r="AM495" s="122"/>
      <c r="AN495" s="122"/>
      <c r="AO495" s="122"/>
      <c r="AP495" s="122"/>
      <c r="AQ495" s="124"/>
    </row>
    <row r="496" spans="1:43" ht="15.75" customHeight="1">
      <c r="A496" s="122"/>
      <c r="B496" s="122"/>
      <c r="C496" s="122"/>
      <c r="D496" s="122"/>
      <c r="E496" s="122"/>
      <c r="F496" s="122"/>
      <c r="G496" s="122"/>
      <c r="H496" s="122"/>
      <c r="I496" s="122"/>
      <c r="J496" s="122"/>
      <c r="K496" s="122"/>
      <c r="L496" s="122"/>
      <c r="M496" s="123"/>
      <c r="N496" s="123"/>
      <c r="O496" s="122"/>
      <c r="P496" s="124"/>
      <c r="Q496" s="122"/>
      <c r="R496" s="122"/>
      <c r="S496" s="122"/>
      <c r="T496" s="122"/>
      <c r="U496" s="122"/>
      <c r="V496" s="124"/>
      <c r="W496" s="125"/>
      <c r="X496" s="122"/>
      <c r="Y496" s="122"/>
      <c r="Z496" s="122"/>
      <c r="AA496" s="126"/>
      <c r="AB496" s="122"/>
      <c r="AC496" s="122"/>
      <c r="AD496" s="127"/>
      <c r="AE496" s="127"/>
      <c r="AF496" s="127"/>
      <c r="AG496" s="127"/>
      <c r="AH496" s="124"/>
      <c r="AI496" s="127"/>
      <c r="AJ496" s="127"/>
      <c r="AK496" s="126"/>
      <c r="AL496" s="122"/>
      <c r="AM496" s="122"/>
      <c r="AN496" s="122"/>
      <c r="AO496" s="122"/>
      <c r="AP496" s="122"/>
      <c r="AQ496" s="124"/>
    </row>
    <row r="497" spans="1:43" ht="15.75" customHeight="1">
      <c r="A497" s="122"/>
      <c r="B497" s="122"/>
      <c r="C497" s="122"/>
      <c r="D497" s="122"/>
      <c r="E497" s="122"/>
      <c r="F497" s="122"/>
      <c r="G497" s="122"/>
      <c r="H497" s="122"/>
      <c r="I497" s="122"/>
      <c r="J497" s="122"/>
      <c r="K497" s="122"/>
      <c r="L497" s="122"/>
      <c r="M497" s="123"/>
      <c r="N497" s="123"/>
      <c r="O497" s="122"/>
      <c r="P497" s="124"/>
      <c r="Q497" s="122"/>
      <c r="R497" s="122"/>
      <c r="S497" s="122"/>
      <c r="T497" s="122"/>
      <c r="U497" s="122"/>
      <c r="V497" s="124"/>
      <c r="W497" s="125"/>
      <c r="X497" s="122"/>
      <c r="Y497" s="122"/>
      <c r="Z497" s="122"/>
      <c r="AA497" s="126"/>
      <c r="AB497" s="122"/>
      <c r="AC497" s="122"/>
      <c r="AD497" s="127"/>
      <c r="AE497" s="127"/>
      <c r="AF497" s="127"/>
      <c r="AG497" s="127"/>
      <c r="AH497" s="124"/>
      <c r="AI497" s="127"/>
      <c r="AJ497" s="127"/>
      <c r="AK497" s="126"/>
      <c r="AL497" s="122"/>
      <c r="AM497" s="122"/>
      <c r="AN497" s="122"/>
      <c r="AO497" s="122"/>
      <c r="AP497" s="122"/>
      <c r="AQ497" s="124"/>
    </row>
    <row r="498" spans="1:43" ht="15.75" customHeight="1">
      <c r="A498" s="122"/>
      <c r="B498" s="122"/>
      <c r="C498" s="122"/>
      <c r="D498" s="122"/>
      <c r="E498" s="122"/>
      <c r="F498" s="122"/>
      <c r="G498" s="122"/>
      <c r="H498" s="122"/>
      <c r="I498" s="122"/>
      <c r="J498" s="122"/>
      <c r="K498" s="122"/>
      <c r="L498" s="122"/>
      <c r="M498" s="123"/>
      <c r="N498" s="123"/>
      <c r="O498" s="122"/>
      <c r="P498" s="124"/>
      <c r="Q498" s="122"/>
      <c r="R498" s="122"/>
      <c r="S498" s="122"/>
      <c r="T498" s="122"/>
      <c r="U498" s="122"/>
      <c r="V498" s="124"/>
      <c r="W498" s="125"/>
      <c r="X498" s="122"/>
      <c r="Y498" s="122"/>
      <c r="Z498" s="122"/>
      <c r="AA498" s="126"/>
      <c r="AB498" s="122"/>
      <c r="AC498" s="122"/>
      <c r="AD498" s="127"/>
      <c r="AE498" s="127"/>
      <c r="AF498" s="127"/>
      <c r="AG498" s="127"/>
      <c r="AH498" s="124"/>
      <c r="AI498" s="127"/>
      <c r="AJ498" s="127"/>
      <c r="AK498" s="126"/>
      <c r="AL498" s="122"/>
      <c r="AM498" s="122"/>
      <c r="AN498" s="122"/>
      <c r="AO498" s="122"/>
      <c r="AP498" s="122"/>
      <c r="AQ498" s="124"/>
    </row>
    <row r="499" spans="1:43" ht="15.75" customHeight="1">
      <c r="A499" s="122"/>
      <c r="B499" s="122"/>
      <c r="C499" s="122"/>
      <c r="D499" s="122"/>
      <c r="E499" s="122"/>
      <c r="F499" s="122"/>
      <c r="G499" s="122"/>
      <c r="H499" s="122"/>
      <c r="I499" s="122"/>
      <c r="J499" s="122"/>
      <c r="K499" s="122"/>
      <c r="L499" s="122"/>
      <c r="M499" s="123"/>
      <c r="N499" s="123"/>
      <c r="O499" s="122"/>
      <c r="P499" s="124"/>
      <c r="Q499" s="122"/>
      <c r="R499" s="122"/>
      <c r="S499" s="122"/>
      <c r="T499" s="122"/>
      <c r="U499" s="122"/>
      <c r="V499" s="124"/>
      <c r="W499" s="125"/>
      <c r="X499" s="122"/>
      <c r="Y499" s="122"/>
      <c r="Z499" s="122"/>
      <c r="AA499" s="126"/>
      <c r="AB499" s="122"/>
      <c r="AC499" s="122"/>
      <c r="AD499" s="127"/>
      <c r="AE499" s="127"/>
      <c r="AF499" s="127"/>
      <c r="AG499" s="127"/>
      <c r="AH499" s="124"/>
      <c r="AI499" s="127"/>
      <c r="AJ499" s="127"/>
      <c r="AK499" s="126"/>
      <c r="AL499" s="122"/>
      <c r="AM499" s="122"/>
      <c r="AN499" s="122"/>
      <c r="AO499" s="122"/>
      <c r="AP499" s="122"/>
      <c r="AQ499" s="124"/>
    </row>
    <row r="500" spans="1:43" ht="15.75" customHeight="1">
      <c r="A500" s="122"/>
      <c r="B500" s="122"/>
      <c r="C500" s="122"/>
      <c r="D500" s="122"/>
      <c r="E500" s="122"/>
      <c r="F500" s="122"/>
      <c r="G500" s="122"/>
      <c r="H500" s="122"/>
      <c r="I500" s="122"/>
      <c r="J500" s="122"/>
      <c r="K500" s="122"/>
      <c r="L500" s="122"/>
      <c r="M500" s="123"/>
      <c r="N500" s="123"/>
      <c r="O500" s="122"/>
      <c r="P500" s="124"/>
      <c r="Q500" s="122"/>
      <c r="R500" s="122"/>
      <c r="S500" s="122"/>
      <c r="T500" s="122"/>
      <c r="U500" s="122"/>
      <c r="V500" s="124"/>
      <c r="W500" s="125"/>
      <c r="X500" s="122"/>
      <c r="Y500" s="122"/>
      <c r="Z500" s="122"/>
      <c r="AA500" s="126"/>
      <c r="AB500" s="122"/>
      <c r="AC500" s="122"/>
      <c r="AD500" s="127"/>
      <c r="AE500" s="127"/>
      <c r="AF500" s="127"/>
      <c r="AG500" s="127"/>
      <c r="AH500" s="124"/>
      <c r="AI500" s="127"/>
      <c r="AJ500" s="127"/>
      <c r="AK500" s="126"/>
      <c r="AL500" s="122"/>
      <c r="AM500" s="122"/>
      <c r="AN500" s="122"/>
      <c r="AO500" s="122"/>
      <c r="AP500" s="122"/>
      <c r="AQ500" s="124"/>
    </row>
    <row r="501" spans="1:43" ht="15.75" customHeight="1">
      <c r="A501" s="122"/>
      <c r="B501" s="122"/>
      <c r="C501" s="122"/>
      <c r="D501" s="122"/>
      <c r="E501" s="122"/>
      <c r="F501" s="122"/>
      <c r="G501" s="122"/>
      <c r="H501" s="122"/>
      <c r="I501" s="122"/>
      <c r="J501" s="122"/>
      <c r="K501" s="122"/>
      <c r="L501" s="122"/>
      <c r="M501" s="123"/>
      <c r="N501" s="123"/>
      <c r="O501" s="122"/>
      <c r="P501" s="124"/>
      <c r="Q501" s="122"/>
      <c r="R501" s="122"/>
      <c r="S501" s="122"/>
      <c r="T501" s="122"/>
      <c r="U501" s="122"/>
      <c r="V501" s="124"/>
      <c r="W501" s="125"/>
      <c r="X501" s="122"/>
      <c r="Y501" s="122"/>
      <c r="Z501" s="122"/>
      <c r="AA501" s="126"/>
      <c r="AB501" s="122"/>
      <c r="AC501" s="122"/>
      <c r="AD501" s="127"/>
      <c r="AE501" s="127"/>
      <c r="AF501" s="127"/>
      <c r="AG501" s="127"/>
      <c r="AH501" s="124"/>
      <c r="AI501" s="127"/>
      <c r="AJ501" s="127"/>
      <c r="AK501" s="126"/>
      <c r="AL501" s="122"/>
      <c r="AM501" s="122"/>
      <c r="AN501" s="122"/>
      <c r="AO501" s="122"/>
      <c r="AP501" s="122"/>
      <c r="AQ501" s="124"/>
    </row>
    <row r="502" spans="1:43" ht="15.75" customHeight="1">
      <c r="A502" s="122"/>
      <c r="B502" s="122"/>
      <c r="C502" s="122"/>
      <c r="D502" s="122"/>
      <c r="E502" s="122"/>
      <c r="F502" s="122"/>
      <c r="G502" s="122"/>
      <c r="H502" s="122"/>
      <c r="I502" s="122"/>
      <c r="J502" s="122"/>
      <c r="K502" s="122"/>
      <c r="L502" s="122"/>
      <c r="M502" s="123"/>
      <c r="N502" s="123"/>
      <c r="O502" s="122"/>
      <c r="P502" s="124"/>
      <c r="Q502" s="122"/>
      <c r="R502" s="122"/>
      <c r="S502" s="122"/>
      <c r="T502" s="122"/>
      <c r="U502" s="122"/>
      <c r="V502" s="124"/>
      <c r="W502" s="125"/>
      <c r="X502" s="122"/>
      <c r="Y502" s="122"/>
      <c r="Z502" s="122"/>
      <c r="AA502" s="126"/>
      <c r="AB502" s="122"/>
      <c r="AC502" s="122"/>
      <c r="AD502" s="127"/>
      <c r="AE502" s="127"/>
      <c r="AF502" s="127"/>
      <c r="AG502" s="127"/>
      <c r="AH502" s="124"/>
      <c r="AI502" s="127"/>
      <c r="AJ502" s="127"/>
      <c r="AK502" s="126"/>
      <c r="AL502" s="122"/>
      <c r="AM502" s="122"/>
      <c r="AN502" s="122"/>
      <c r="AO502" s="122"/>
      <c r="AP502" s="122"/>
      <c r="AQ502" s="124"/>
    </row>
    <row r="503" spans="1:43" ht="15.75" customHeight="1">
      <c r="A503" s="122"/>
      <c r="B503" s="122"/>
      <c r="C503" s="122"/>
      <c r="D503" s="122"/>
      <c r="E503" s="122"/>
      <c r="F503" s="122"/>
      <c r="G503" s="122"/>
      <c r="H503" s="122"/>
      <c r="I503" s="122"/>
      <c r="J503" s="122"/>
      <c r="K503" s="122"/>
      <c r="L503" s="122"/>
      <c r="M503" s="123"/>
      <c r="N503" s="123"/>
      <c r="O503" s="122"/>
      <c r="P503" s="124"/>
      <c r="Q503" s="122"/>
      <c r="R503" s="122"/>
      <c r="S503" s="122"/>
      <c r="T503" s="122"/>
      <c r="U503" s="122"/>
      <c r="V503" s="124"/>
      <c r="W503" s="125"/>
      <c r="X503" s="122"/>
      <c r="Y503" s="122"/>
      <c r="Z503" s="122"/>
      <c r="AA503" s="126"/>
      <c r="AB503" s="122"/>
      <c r="AC503" s="122"/>
      <c r="AD503" s="127"/>
      <c r="AE503" s="127"/>
      <c r="AF503" s="127"/>
      <c r="AG503" s="127"/>
      <c r="AH503" s="124"/>
      <c r="AI503" s="127"/>
      <c r="AJ503" s="127"/>
      <c r="AK503" s="126"/>
      <c r="AL503" s="122"/>
      <c r="AM503" s="122"/>
      <c r="AN503" s="122"/>
      <c r="AO503" s="122"/>
      <c r="AP503" s="122"/>
      <c r="AQ503" s="124"/>
    </row>
    <row r="504" spans="1:43" ht="15.75" customHeight="1">
      <c r="A504" s="122"/>
      <c r="B504" s="122"/>
      <c r="C504" s="122"/>
      <c r="D504" s="122"/>
      <c r="E504" s="122"/>
      <c r="F504" s="122"/>
      <c r="G504" s="122"/>
      <c r="H504" s="122"/>
      <c r="I504" s="122"/>
      <c r="J504" s="122"/>
      <c r="K504" s="122"/>
      <c r="L504" s="122"/>
      <c r="M504" s="123"/>
      <c r="N504" s="123"/>
      <c r="O504" s="122"/>
      <c r="P504" s="124"/>
      <c r="Q504" s="122"/>
      <c r="R504" s="122"/>
      <c r="S504" s="122"/>
      <c r="T504" s="122"/>
      <c r="U504" s="122"/>
      <c r="V504" s="124"/>
      <c r="W504" s="125"/>
      <c r="X504" s="122"/>
      <c r="Y504" s="122"/>
      <c r="Z504" s="122"/>
      <c r="AA504" s="126"/>
      <c r="AB504" s="122"/>
      <c r="AC504" s="122"/>
      <c r="AD504" s="127"/>
      <c r="AE504" s="127"/>
      <c r="AF504" s="127"/>
      <c r="AG504" s="127"/>
      <c r="AH504" s="124"/>
      <c r="AI504" s="127"/>
      <c r="AJ504" s="127"/>
      <c r="AK504" s="126"/>
      <c r="AL504" s="122"/>
      <c r="AM504" s="122"/>
      <c r="AN504" s="122"/>
      <c r="AO504" s="122"/>
      <c r="AP504" s="122"/>
      <c r="AQ504" s="124"/>
    </row>
    <row r="505" spans="1:43" ht="15.75" customHeight="1">
      <c r="A505" s="122"/>
      <c r="B505" s="122"/>
      <c r="C505" s="122"/>
      <c r="D505" s="122"/>
      <c r="E505" s="122"/>
      <c r="F505" s="122"/>
      <c r="G505" s="122"/>
      <c r="H505" s="122"/>
      <c r="I505" s="122"/>
      <c r="J505" s="122"/>
      <c r="K505" s="122"/>
      <c r="L505" s="122"/>
      <c r="M505" s="123"/>
      <c r="N505" s="123"/>
      <c r="O505" s="122"/>
      <c r="P505" s="124"/>
      <c r="Q505" s="122"/>
      <c r="R505" s="122"/>
      <c r="S505" s="122"/>
      <c r="T505" s="122"/>
      <c r="U505" s="122"/>
      <c r="V505" s="124"/>
      <c r="W505" s="125"/>
      <c r="X505" s="122"/>
      <c r="Y505" s="122"/>
      <c r="Z505" s="122"/>
      <c r="AA505" s="126"/>
      <c r="AB505" s="122"/>
      <c r="AC505" s="122"/>
      <c r="AD505" s="127"/>
      <c r="AE505" s="127"/>
      <c r="AF505" s="127"/>
      <c r="AG505" s="127"/>
      <c r="AH505" s="124"/>
      <c r="AI505" s="127"/>
      <c r="AJ505" s="127"/>
      <c r="AK505" s="126"/>
      <c r="AL505" s="122"/>
      <c r="AM505" s="122"/>
      <c r="AN505" s="122"/>
      <c r="AO505" s="122"/>
      <c r="AP505" s="122"/>
      <c r="AQ505" s="124"/>
    </row>
    <row r="506" spans="1:43" ht="15.75" customHeight="1">
      <c r="A506" s="122"/>
      <c r="B506" s="122"/>
      <c r="C506" s="122"/>
      <c r="D506" s="122"/>
      <c r="E506" s="122"/>
      <c r="F506" s="122"/>
      <c r="G506" s="122"/>
      <c r="H506" s="122"/>
      <c r="I506" s="122"/>
      <c r="J506" s="122"/>
      <c r="K506" s="122"/>
      <c r="L506" s="122"/>
      <c r="M506" s="123"/>
      <c r="N506" s="123"/>
      <c r="O506" s="122"/>
      <c r="P506" s="124"/>
      <c r="Q506" s="122"/>
      <c r="R506" s="122"/>
      <c r="S506" s="122"/>
      <c r="T506" s="122"/>
      <c r="U506" s="122"/>
      <c r="V506" s="124"/>
      <c r="W506" s="125"/>
      <c r="X506" s="122"/>
      <c r="Y506" s="122"/>
      <c r="Z506" s="122"/>
      <c r="AA506" s="126"/>
      <c r="AB506" s="122"/>
      <c r="AC506" s="122"/>
      <c r="AD506" s="127"/>
      <c r="AE506" s="127"/>
      <c r="AF506" s="127"/>
      <c r="AG506" s="127"/>
      <c r="AH506" s="124"/>
      <c r="AI506" s="127"/>
      <c r="AJ506" s="127"/>
      <c r="AK506" s="126"/>
      <c r="AL506" s="122"/>
      <c r="AM506" s="122"/>
      <c r="AN506" s="122"/>
      <c r="AO506" s="122"/>
      <c r="AP506" s="122"/>
      <c r="AQ506" s="124"/>
    </row>
    <row r="507" spans="1:43" ht="15.75" customHeight="1">
      <c r="A507" s="122"/>
      <c r="B507" s="122"/>
      <c r="C507" s="122"/>
      <c r="D507" s="122"/>
      <c r="E507" s="122"/>
      <c r="F507" s="122"/>
      <c r="G507" s="122"/>
      <c r="H507" s="122"/>
      <c r="I507" s="122"/>
      <c r="J507" s="122"/>
      <c r="K507" s="122"/>
      <c r="L507" s="122"/>
      <c r="M507" s="123"/>
      <c r="N507" s="123"/>
      <c r="O507" s="122"/>
      <c r="P507" s="124"/>
      <c r="Q507" s="122"/>
      <c r="R507" s="122"/>
      <c r="S507" s="122"/>
      <c r="T507" s="122"/>
      <c r="U507" s="122"/>
      <c r="V507" s="124"/>
      <c r="W507" s="125"/>
      <c r="X507" s="122"/>
      <c r="Y507" s="122"/>
      <c r="Z507" s="122"/>
      <c r="AA507" s="126"/>
      <c r="AB507" s="122"/>
      <c r="AC507" s="122"/>
      <c r="AD507" s="127"/>
      <c r="AE507" s="127"/>
      <c r="AF507" s="127"/>
      <c r="AG507" s="127"/>
      <c r="AH507" s="124"/>
      <c r="AI507" s="127"/>
      <c r="AJ507" s="127"/>
      <c r="AK507" s="126"/>
      <c r="AL507" s="122"/>
      <c r="AM507" s="122"/>
      <c r="AN507" s="122"/>
      <c r="AO507" s="122"/>
      <c r="AP507" s="122"/>
      <c r="AQ507" s="124"/>
    </row>
    <row r="508" spans="1:43" ht="15.75" customHeight="1">
      <c r="A508" s="122"/>
      <c r="B508" s="122"/>
      <c r="C508" s="122"/>
      <c r="D508" s="122"/>
      <c r="E508" s="122"/>
      <c r="F508" s="122"/>
      <c r="G508" s="122"/>
      <c r="H508" s="122"/>
      <c r="I508" s="122"/>
      <c r="J508" s="122"/>
      <c r="K508" s="122"/>
      <c r="L508" s="122"/>
      <c r="M508" s="123"/>
      <c r="N508" s="123"/>
      <c r="O508" s="122"/>
      <c r="P508" s="124"/>
      <c r="Q508" s="122"/>
      <c r="R508" s="122"/>
      <c r="S508" s="122"/>
      <c r="T508" s="122"/>
      <c r="U508" s="122"/>
      <c r="V508" s="124"/>
      <c r="W508" s="125"/>
      <c r="X508" s="122"/>
      <c r="Y508" s="122"/>
      <c r="Z508" s="122"/>
      <c r="AA508" s="126"/>
      <c r="AB508" s="122"/>
      <c r="AC508" s="122"/>
      <c r="AD508" s="127"/>
      <c r="AE508" s="127"/>
      <c r="AF508" s="127"/>
      <c r="AG508" s="127"/>
      <c r="AH508" s="124"/>
      <c r="AI508" s="127"/>
      <c r="AJ508" s="127"/>
      <c r="AK508" s="126"/>
      <c r="AL508" s="122"/>
      <c r="AM508" s="122"/>
      <c r="AN508" s="122"/>
      <c r="AO508" s="122"/>
      <c r="AP508" s="122"/>
      <c r="AQ508" s="124"/>
    </row>
    <row r="509" spans="1:43" ht="15.75" customHeight="1">
      <c r="A509" s="122"/>
      <c r="B509" s="122"/>
      <c r="C509" s="122"/>
      <c r="D509" s="122"/>
      <c r="E509" s="122"/>
      <c r="F509" s="122"/>
      <c r="G509" s="122"/>
      <c r="H509" s="122"/>
      <c r="I509" s="122"/>
      <c r="J509" s="122"/>
      <c r="K509" s="122"/>
      <c r="L509" s="122"/>
      <c r="M509" s="123"/>
      <c r="N509" s="123"/>
      <c r="O509" s="122"/>
      <c r="P509" s="124"/>
      <c r="Q509" s="122"/>
      <c r="R509" s="122"/>
      <c r="S509" s="122"/>
      <c r="T509" s="122"/>
      <c r="U509" s="122"/>
      <c r="V509" s="124"/>
      <c r="W509" s="125"/>
      <c r="X509" s="122"/>
      <c r="Y509" s="122"/>
      <c r="Z509" s="122"/>
      <c r="AA509" s="126"/>
      <c r="AB509" s="122"/>
      <c r="AC509" s="122"/>
      <c r="AD509" s="127"/>
      <c r="AE509" s="127"/>
      <c r="AF509" s="127"/>
      <c r="AG509" s="127"/>
      <c r="AH509" s="124"/>
      <c r="AI509" s="127"/>
      <c r="AJ509" s="127"/>
      <c r="AK509" s="126"/>
      <c r="AL509" s="122"/>
      <c r="AM509" s="122"/>
      <c r="AN509" s="122"/>
      <c r="AO509" s="122"/>
      <c r="AP509" s="122"/>
      <c r="AQ509" s="124"/>
    </row>
    <row r="510" spans="1:43" ht="15.75" customHeight="1">
      <c r="A510" s="122"/>
      <c r="B510" s="122"/>
      <c r="C510" s="122"/>
      <c r="D510" s="122"/>
      <c r="E510" s="122"/>
      <c r="F510" s="122"/>
      <c r="G510" s="122"/>
      <c r="H510" s="122"/>
      <c r="I510" s="122"/>
      <c r="J510" s="122"/>
      <c r="K510" s="122"/>
      <c r="L510" s="122"/>
      <c r="M510" s="123"/>
      <c r="N510" s="123"/>
      <c r="O510" s="122"/>
      <c r="P510" s="124"/>
      <c r="Q510" s="122"/>
      <c r="R510" s="122"/>
      <c r="S510" s="122"/>
      <c r="T510" s="122"/>
      <c r="U510" s="122"/>
      <c r="V510" s="124"/>
      <c r="W510" s="125"/>
      <c r="X510" s="122"/>
      <c r="Y510" s="122"/>
      <c r="Z510" s="122"/>
      <c r="AA510" s="126"/>
      <c r="AB510" s="122"/>
      <c r="AC510" s="122"/>
      <c r="AD510" s="127"/>
      <c r="AE510" s="127"/>
      <c r="AF510" s="127"/>
      <c r="AG510" s="127"/>
      <c r="AH510" s="124"/>
      <c r="AI510" s="127"/>
      <c r="AJ510" s="127"/>
      <c r="AK510" s="126"/>
      <c r="AL510" s="122"/>
      <c r="AM510" s="122"/>
      <c r="AN510" s="122"/>
      <c r="AO510" s="122"/>
      <c r="AP510" s="122"/>
      <c r="AQ510" s="124"/>
    </row>
    <row r="511" spans="1:43" ht="15.75" customHeight="1">
      <c r="A511" s="122"/>
      <c r="B511" s="122"/>
      <c r="C511" s="122"/>
      <c r="D511" s="122"/>
      <c r="E511" s="122"/>
      <c r="F511" s="122"/>
      <c r="G511" s="122"/>
      <c r="H511" s="122"/>
      <c r="I511" s="122"/>
      <c r="J511" s="122"/>
      <c r="K511" s="122"/>
      <c r="L511" s="122"/>
      <c r="M511" s="123"/>
      <c r="N511" s="123"/>
      <c r="O511" s="122"/>
      <c r="P511" s="124"/>
      <c r="Q511" s="122"/>
      <c r="R511" s="122"/>
      <c r="S511" s="122"/>
      <c r="T511" s="122"/>
      <c r="U511" s="122"/>
      <c r="V511" s="124"/>
      <c r="W511" s="125"/>
      <c r="X511" s="122"/>
      <c r="Y511" s="122"/>
      <c r="Z511" s="122"/>
      <c r="AA511" s="126"/>
      <c r="AB511" s="122"/>
      <c r="AC511" s="122"/>
      <c r="AD511" s="127"/>
      <c r="AE511" s="127"/>
      <c r="AF511" s="127"/>
      <c r="AG511" s="127"/>
      <c r="AH511" s="124"/>
      <c r="AI511" s="127"/>
      <c r="AJ511" s="127"/>
      <c r="AK511" s="126"/>
      <c r="AL511" s="122"/>
      <c r="AM511" s="122"/>
      <c r="AN511" s="122"/>
      <c r="AO511" s="122"/>
      <c r="AP511" s="122"/>
      <c r="AQ511" s="124"/>
    </row>
    <row r="512" spans="1:43" ht="15.75" customHeight="1">
      <c r="A512" s="122"/>
      <c r="B512" s="122"/>
      <c r="C512" s="122"/>
      <c r="D512" s="122"/>
      <c r="E512" s="122"/>
      <c r="F512" s="122"/>
      <c r="G512" s="122"/>
      <c r="H512" s="122"/>
      <c r="I512" s="122"/>
      <c r="J512" s="122"/>
      <c r="K512" s="122"/>
      <c r="L512" s="122"/>
      <c r="M512" s="123"/>
      <c r="N512" s="123"/>
      <c r="O512" s="122"/>
      <c r="P512" s="124"/>
      <c r="Q512" s="122"/>
      <c r="R512" s="122"/>
      <c r="S512" s="122"/>
      <c r="T512" s="122"/>
      <c r="U512" s="122"/>
      <c r="V512" s="124"/>
      <c r="W512" s="125"/>
      <c r="X512" s="122"/>
      <c r="Y512" s="122"/>
      <c r="Z512" s="122"/>
      <c r="AA512" s="126"/>
      <c r="AB512" s="122"/>
      <c r="AC512" s="122"/>
      <c r="AD512" s="127"/>
      <c r="AE512" s="127"/>
      <c r="AF512" s="127"/>
      <c r="AG512" s="127"/>
      <c r="AH512" s="124"/>
      <c r="AI512" s="127"/>
      <c r="AJ512" s="127"/>
      <c r="AK512" s="126"/>
      <c r="AL512" s="122"/>
      <c r="AM512" s="122"/>
      <c r="AN512" s="122"/>
      <c r="AO512" s="122"/>
      <c r="AP512" s="122"/>
      <c r="AQ512" s="124"/>
    </row>
    <row r="513" spans="1:43" ht="15.75" customHeight="1">
      <c r="A513" s="122"/>
      <c r="B513" s="122"/>
      <c r="C513" s="122"/>
      <c r="D513" s="122"/>
      <c r="E513" s="122"/>
      <c r="F513" s="122"/>
      <c r="G513" s="122"/>
      <c r="H513" s="122"/>
      <c r="I513" s="122"/>
      <c r="J513" s="122"/>
      <c r="K513" s="122"/>
      <c r="L513" s="122"/>
      <c r="M513" s="123"/>
      <c r="N513" s="123"/>
      <c r="O513" s="122"/>
      <c r="P513" s="124"/>
      <c r="Q513" s="122"/>
      <c r="R513" s="122"/>
      <c r="S513" s="122"/>
      <c r="T513" s="122"/>
      <c r="U513" s="122"/>
      <c r="V513" s="124"/>
      <c r="W513" s="125"/>
      <c r="X513" s="122"/>
      <c r="Y513" s="122"/>
      <c r="Z513" s="122"/>
      <c r="AA513" s="126"/>
      <c r="AB513" s="122"/>
      <c r="AC513" s="122"/>
      <c r="AD513" s="127"/>
      <c r="AE513" s="127"/>
      <c r="AF513" s="127"/>
      <c r="AG513" s="127"/>
      <c r="AH513" s="124"/>
      <c r="AI513" s="127"/>
      <c r="AJ513" s="127"/>
      <c r="AK513" s="126"/>
      <c r="AL513" s="122"/>
      <c r="AM513" s="122"/>
      <c r="AN513" s="122"/>
      <c r="AO513" s="122"/>
      <c r="AP513" s="122"/>
      <c r="AQ513" s="124"/>
    </row>
    <row r="514" spans="1:43" ht="15.75" customHeight="1">
      <c r="A514" s="122"/>
      <c r="B514" s="122"/>
      <c r="C514" s="122"/>
      <c r="D514" s="122"/>
      <c r="E514" s="122"/>
      <c r="F514" s="122"/>
      <c r="G514" s="122"/>
      <c r="H514" s="122"/>
      <c r="I514" s="122"/>
      <c r="J514" s="122"/>
      <c r="K514" s="122"/>
      <c r="L514" s="122"/>
      <c r="M514" s="123"/>
      <c r="N514" s="123"/>
      <c r="O514" s="122"/>
      <c r="P514" s="124"/>
      <c r="Q514" s="122"/>
      <c r="R514" s="122"/>
      <c r="S514" s="122"/>
      <c r="T514" s="122"/>
      <c r="U514" s="122"/>
      <c r="V514" s="124"/>
      <c r="W514" s="125"/>
      <c r="X514" s="122"/>
      <c r="Y514" s="122"/>
      <c r="Z514" s="122"/>
      <c r="AA514" s="126"/>
      <c r="AB514" s="122"/>
      <c r="AC514" s="122"/>
      <c r="AD514" s="127"/>
      <c r="AE514" s="127"/>
      <c r="AF514" s="127"/>
      <c r="AG514" s="127"/>
      <c r="AH514" s="124"/>
      <c r="AI514" s="127"/>
      <c r="AJ514" s="127"/>
      <c r="AK514" s="126"/>
      <c r="AL514" s="122"/>
      <c r="AM514" s="122"/>
      <c r="AN514" s="122"/>
      <c r="AO514" s="122"/>
      <c r="AP514" s="122"/>
      <c r="AQ514" s="124"/>
    </row>
    <row r="515" spans="1:43" ht="15.75" customHeight="1">
      <c r="A515" s="122"/>
      <c r="B515" s="122"/>
      <c r="C515" s="122"/>
      <c r="D515" s="122"/>
      <c r="E515" s="122"/>
      <c r="F515" s="122"/>
      <c r="G515" s="122"/>
      <c r="H515" s="122"/>
      <c r="I515" s="122"/>
      <c r="J515" s="122"/>
      <c r="K515" s="122"/>
      <c r="L515" s="122"/>
      <c r="M515" s="123"/>
      <c r="N515" s="123"/>
      <c r="O515" s="122"/>
      <c r="P515" s="124"/>
      <c r="Q515" s="122"/>
      <c r="R515" s="122"/>
      <c r="S515" s="122"/>
      <c r="T515" s="122"/>
      <c r="U515" s="122"/>
      <c r="V515" s="124"/>
      <c r="W515" s="125"/>
      <c r="X515" s="122"/>
      <c r="Y515" s="122"/>
      <c r="Z515" s="122"/>
      <c r="AA515" s="126"/>
      <c r="AB515" s="122"/>
      <c r="AC515" s="122"/>
      <c r="AD515" s="127"/>
      <c r="AE515" s="127"/>
      <c r="AF515" s="127"/>
      <c r="AG515" s="127"/>
      <c r="AH515" s="124"/>
      <c r="AI515" s="127"/>
      <c r="AJ515" s="127"/>
      <c r="AK515" s="126"/>
      <c r="AL515" s="122"/>
      <c r="AM515" s="122"/>
      <c r="AN515" s="122"/>
      <c r="AO515" s="122"/>
      <c r="AP515" s="122"/>
      <c r="AQ515" s="124"/>
    </row>
    <row r="516" spans="1:43" ht="15.75" customHeight="1">
      <c r="A516" s="122"/>
      <c r="B516" s="122"/>
      <c r="C516" s="122"/>
      <c r="D516" s="122"/>
      <c r="E516" s="122"/>
      <c r="F516" s="122"/>
      <c r="G516" s="122"/>
      <c r="H516" s="122"/>
      <c r="I516" s="122"/>
      <c r="J516" s="122"/>
      <c r="K516" s="122"/>
      <c r="L516" s="122"/>
      <c r="M516" s="123"/>
      <c r="N516" s="123"/>
      <c r="O516" s="122"/>
      <c r="P516" s="124"/>
      <c r="Q516" s="122"/>
      <c r="R516" s="122"/>
      <c r="S516" s="122"/>
      <c r="T516" s="122"/>
      <c r="U516" s="122"/>
      <c r="V516" s="124"/>
      <c r="W516" s="125"/>
      <c r="X516" s="122"/>
      <c r="Y516" s="122"/>
      <c r="Z516" s="122"/>
      <c r="AA516" s="126"/>
      <c r="AB516" s="122"/>
      <c r="AC516" s="122"/>
      <c r="AD516" s="127"/>
      <c r="AE516" s="127"/>
      <c r="AF516" s="127"/>
      <c r="AG516" s="127"/>
      <c r="AH516" s="124"/>
      <c r="AI516" s="127"/>
      <c r="AJ516" s="127"/>
      <c r="AK516" s="126"/>
      <c r="AL516" s="122"/>
      <c r="AM516" s="122"/>
      <c r="AN516" s="122"/>
      <c r="AO516" s="122"/>
      <c r="AP516" s="122"/>
      <c r="AQ516" s="124"/>
    </row>
    <row r="517" spans="1:43" ht="15.75" customHeight="1">
      <c r="A517" s="122"/>
      <c r="B517" s="122"/>
      <c r="C517" s="122"/>
      <c r="D517" s="122"/>
      <c r="E517" s="122"/>
      <c r="F517" s="122"/>
      <c r="G517" s="122"/>
      <c r="H517" s="122"/>
      <c r="I517" s="122"/>
      <c r="J517" s="122"/>
      <c r="K517" s="122"/>
      <c r="L517" s="122"/>
      <c r="M517" s="123"/>
      <c r="N517" s="123"/>
      <c r="O517" s="122"/>
      <c r="P517" s="124"/>
      <c r="Q517" s="122"/>
      <c r="R517" s="122"/>
      <c r="S517" s="122"/>
      <c r="T517" s="122"/>
      <c r="U517" s="122"/>
      <c r="V517" s="124"/>
      <c r="W517" s="125"/>
      <c r="X517" s="122"/>
      <c r="Y517" s="122"/>
      <c r="Z517" s="122"/>
      <c r="AA517" s="126"/>
      <c r="AB517" s="122"/>
      <c r="AC517" s="122"/>
      <c r="AD517" s="127"/>
      <c r="AE517" s="127"/>
      <c r="AF517" s="127"/>
      <c r="AG517" s="127"/>
      <c r="AH517" s="124"/>
      <c r="AI517" s="127"/>
      <c r="AJ517" s="127"/>
      <c r="AK517" s="126"/>
      <c r="AL517" s="122"/>
      <c r="AM517" s="122"/>
      <c r="AN517" s="122"/>
      <c r="AO517" s="122"/>
      <c r="AP517" s="122"/>
      <c r="AQ517" s="124"/>
    </row>
    <row r="518" spans="1:43" ht="15.75" customHeight="1">
      <c r="A518" s="122"/>
      <c r="B518" s="122"/>
      <c r="C518" s="122"/>
      <c r="D518" s="122"/>
      <c r="E518" s="122"/>
      <c r="F518" s="122"/>
      <c r="G518" s="122"/>
      <c r="H518" s="122"/>
      <c r="I518" s="122"/>
      <c r="J518" s="122"/>
      <c r="K518" s="122"/>
      <c r="L518" s="122"/>
      <c r="M518" s="123"/>
      <c r="N518" s="123"/>
      <c r="O518" s="122"/>
      <c r="P518" s="124"/>
      <c r="Q518" s="122"/>
      <c r="R518" s="122"/>
      <c r="S518" s="122"/>
      <c r="T518" s="122"/>
      <c r="U518" s="122"/>
      <c r="V518" s="124"/>
      <c r="W518" s="125"/>
      <c r="X518" s="122"/>
      <c r="Y518" s="122"/>
      <c r="Z518" s="122"/>
      <c r="AA518" s="126"/>
      <c r="AB518" s="122"/>
      <c r="AC518" s="122"/>
      <c r="AD518" s="127"/>
      <c r="AE518" s="127"/>
      <c r="AF518" s="127"/>
      <c r="AG518" s="127"/>
      <c r="AH518" s="124"/>
      <c r="AI518" s="127"/>
      <c r="AJ518" s="127"/>
      <c r="AK518" s="126"/>
      <c r="AL518" s="122"/>
      <c r="AM518" s="122"/>
      <c r="AN518" s="122"/>
      <c r="AO518" s="122"/>
      <c r="AP518" s="122"/>
      <c r="AQ518" s="124"/>
    </row>
    <row r="519" spans="1:43" ht="15.75" customHeight="1">
      <c r="A519" s="122"/>
      <c r="B519" s="122"/>
      <c r="C519" s="122"/>
      <c r="D519" s="122"/>
      <c r="E519" s="122"/>
      <c r="F519" s="122"/>
      <c r="G519" s="122"/>
      <c r="H519" s="122"/>
      <c r="I519" s="122"/>
      <c r="J519" s="122"/>
      <c r="K519" s="122"/>
      <c r="L519" s="122"/>
      <c r="M519" s="123"/>
      <c r="N519" s="123"/>
      <c r="O519" s="122"/>
      <c r="P519" s="124"/>
      <c r="Q519" s="122"/>
      <c r="R519" s="122"/>
      <c r="S519" s="122"/>
      <c r="T519" s="122"/>
      <c r="U519" s="122"/>
      <c r="V519" s="124"/>
      <c r="W519" s="125"/>
      <c r="X519" s="122"/>
      <c r="Y519" s="122"/>
      <c r="Z519" s="122"/>
      <c r="AA519" s="126"/>
      <c r="AB519" s="122"/>
      <c r="AC519" s="122"/>
      <c r="AD519" s="127"/>
      <c r="AE519" s="127"/>
      <c r="AF519" s="127"/>
      <c r="AG519" s="127"/>
      <c r="AH519" s="124"/>
      <c r="AI519" s="127"/>
      <c r="AJ519" s="127"/>
      <c r="AK519" s="126"/>
      <c r="AL519" s="122"/>
      <c r="AM519" s="122"/>
      <c r="AN519" s="122"/>
      <c r="AO519" s="122"/>
      <c r="AP519" s="122"/>
      <c r="AQ519" s="124"/>
    </row>
    <row r="520" spans="1:43" ht="15.75" customHeight="1">
      <c r="A520" s="122"/>
      <c r="B520" s="122"/>
      <c r="C520" s="122"/>
      <c r="D520" s="122"/>
      <c r="E520" s="122"/>
      <c r="F520" s="122"/>
      <c r="G520" s="122"/>
      <c r="H520" s="122"/>
      <c r="I520" s="122"/>
      <c r="J520" s="122"/>
      <c r="K520" s="122"/>
      <c r="L520" s="122"/>
      <c r="M520" s="123"/>
      <c r="N520" s="123"/>
      <c r="O520" s="122"/>
      <c r="P520" s="124"/>
      <c r="Q520" s="122"/>
      <c r="R520" s="122"/>
      <c r="S520" s="122"/>
      <c r="T520" s="122"/>
      <c r="U520" s="122"/>
      <c r="V520" s="124"/>
      <c r="W520" s="125"/>
      <c r="X520" s="122"/>
      <c r="Y520" s="122"/>
      <c r="Z520" s="122"/>
      <c r="AA520" s="126"/>
      <c r="AB520" s="122"/>
      <c r="AC520" s="122"/>
      <c r="AD520" s="127"/>
      <c r="AE520" s="127"/>
      <c r="AF520" s="127"/>
      <c r="AG520" s="127"/>
      <c r="AH520" s="124"/>
      <c r="AI520" s="127"/>
      <c r="AJ520" s="127"/>
      <c r="AK520" s="126"/>
      <c r="AL520" s="122"/>
      <c r="AM520" s="122"/>
      <c r="AN520" s="122"/>
      <c r="AO520" s="122"/>
      <c r="AP520" s="122"/>
      <c r="AQ520" s="124"/>
    </row>
    <row r="521" spans="1:43" ht="15.75" customHeight="1">
      <c r="A521" s="122"/>
      <c r="B521" s="122"/>
      <c r="C521" s="122"/>
      <c r="D521" s="122"/>
      <c r="E521" s="122"/>
      <c r="F521" s="122"/>
      <c r="G521" s="122"/>
      <c r="H521" s="122"/>
      <c r="I521" s="122"/>
      <c r="J521" s="122"/>
      <c r="K521" s="122"/>
      <c r="L521" s="122"/>
      <c r="M521" s="123"/>
      <c r="N521" s="123"/>
      <c r="O521" s="122"/>
      <c r="P521" s="124"/>
      <c r="Q521" s="122"/>
      <c r="R521" s="122"/>
      <c r="S521" s="122"/>
      <c r="T521" s="122"/>
      <c r="U521" s="122"/>
      <c r="V521" s="124"/>
      <c r="W521" s="125"/>
      <c r="X521" s="122"/>
      <c r="Y521" s="122"/>
      <c r="Z521" s="122"/>
      <c r="AA521" s="126"/>
      <c r="AB521" s="122"/>
      <c r="AC521" s="122"/>
      <c r="AD521" s="127"/>
      <c r="AE521" s="127"/>
      <c r="AF521" s="127"/>
      <c r="AG521" s="127"/>
      <c r="AH521" s="124"/>
      <c r="AI521" s="127"/>
      <c r="AJ521" s="127"/>
      <c r="AK521" s="126"/>
      <c r="AL521" s="122"/>
      <c r="AM521" s="122"/>
      <c r="AN521" s="122"/>
      <c r="AO521" s="122"/>
      <c r="AP521" s="122"/>
      <c r="AQ521" s="124"/>
    </row>
    <row r="522" spans="1:43" ht="15.75" customHeight="1">
      <c r="A522" s="122"/>
      <c r="B522" s="122"/>
      <c r="C522" s="122"/>
      <c r="D522" s="122"/>
      <c r="E522" s="122"/>
      <c r="F522" s="122"/>
      <c r="G522" s="122"/>
      <c r="H522" s="122"/>
      <c r="I522" s="122"/>
      <c r="J522" s="122"/>
      <c r="K522" s="122"/>
      <c r="L522" s="122"/>
      <c r="M522" s="123"/>
      <c r="N522" s="123"/>
      <c r="O522" s="122"/>
      <c r="P522" s="124"/>
      <c r="Q522" s="122"/>
      <c r="R522" s="122"/>
      <c r="S522" s="122"/>
      <c r="T522" s="122"/>
      <c r="U522" s="122"/>
      <c r="V522" s="124"/>
      <c r="W522" s="125"/>
      <c r="X522" s="122"/>
      <c r="Y522" s="122"/>
      <c r="Z522" s="122"/>
      <c r="AA522" s="126"/>
      <c r="AB522" s="122"/>
      <c r="AC522" s="122"/>
      <c r="AD522" s="127"/>
      <c r="AE522" s="127"/>
      <c r="AF522" s="127"/>
      <c r="AG522" s="127"/>
      <c r="AH522" s="124"/>
      <c r="AI522" s="127"/>
      <c r="AJ522" s="127"/>
      <c r="AK522" s="126"/>
      <c r="AL522" s="122"/>
      <c r="AM522" s="122"/>
      <c r="AN522" s="122"/>
      <c r="AO522" s="122"/>
      <c r="AP522" s="122"/>
      <c r="AQ522" s="124"/>
    </row>
    <row r="523" spans="1:43" ht="15.75" customHeight="1">
      <c r="A523" s="122"/>
      <c r="B523" s="122"/>
      <c r="C523" s="122"/>
      <c r="D523" s="122"/>
      <c r="E523" s="122"/>
      <c r="F523" s="122"/>
      <c r="G523" s="122"/>
      <c r="H523" s="122"/>
      <c r="I523" s="122"/>
      <c r="J523" s="122"/>
      <c r="K523" s="122"/>
      <c r="L523" s="122"/>
      <c r="M523" s="123"/>
      <c r="N523" s="123"/>
      <c r="O523" s="122"/>
      <c r="P523" s="124"/>
      <c r="Q523" s="122"/>
      <c r="R523" s="122"/>
      <c r="S523" s="122"/>
      <c r="T523" s="122"/>
      <c r="U523" s="122"/>
      <c r="V523" s="124"/>
      <c r="W523" s="125"/>
      <c r="X523" s="122"/>
      <c r="Y523" s="122"/>
      <c r="Z523" s="122"/>
      <c r="AA523" s="126"/>
      <c r="AB523" s="122"/>
      <c r="AC523" s="122"/>
      <c r="AD523" s="127"/>
      <c r="AE523" s="127"/>
      <c r="AF523" s="127"/>
      <c r="AG523" s="127"/>
      <c r="AH523" s="124"/>
      <c r="AI523" s="127"/>
      <c r="AJ523" s="127"/>
      <c r="AK523" s="126"/>
      <c r="AL523" s="122"/>
      <c r="AM523" s="122"/>
      <c r="AN523" s="122"/>
      <c r="AO523" s="122"/>
      <c r="AP523" s="122"/>
      <c r="AQ523" s="124"/>
    </row>
    <row r="524" spans="1:43" ht="15.75" customHeight="1">
      <c r="A524" s="122"/>
      <c r="B524" s="122"/>
      <c r="C524" s="122"/>
      <c r="D524" s="122"/>
      <c r="E524" s="122"/>
      <c r="F524" s="122"/>
      <c r="G524" s="122"/>
      <c r="H524" s="122"/>
      <c r="I524" s="122"/>
      <c r="J524" s="122"/>
      <c r="K524" s="122"/>
      <c r="L524" s="122"/>
      <c r="M524" s="123"/>
      <c r="N524" s="123"/>
      <c r="O524" s="122"/>
      <c r="P524" s="124"/>
      <c r="Q524" s="122"/>
      <c r="R524" s="122"/>
      <c r="S524" s="122"/>
      <c r="T524" s="122"/>
      <c r="U524" s="122"/>
      <c r="V524" s="124"/>
      <c r="W524" s="125"/>
      <c r="X524" s="122"/>
      <c r="Y524" s="122"/>
      <c r="Z524" s="122"/>
      <c r="AA524" s="126"/>
      <c r="AB524" s="122"/>
      <c r="AC524" s="122"/>
      <c r="AD524" s="127"/>
      <c r="AE524" s="127"/>
      <c r="AF524" s="127"/>
      <c r="AG524" s="127"/>
      <c r="AH524" s="124"/>
      <c r="AI524" s="127"/>
      <c r="AJ524" s="127"/>
      <c r="AK524" s="126"/>
      <c r="AL524" s="122"/>
      <c r="AM524" s="122"/>
      <c r="AN524" s="122"/>
      <c r="AO524" s="122"/>
      <c r="AP524" s="122"/>
      <c r="AQ524" s="124"/>
    </row>
    <row r="525" spans="1:43" ht="15.75" customHeight="1">
      <c r="A525" s="122"/>
      <c r="B525" s="122"/>
      <c r="C525" s="122"/>
      <c r="D525" s="122"/>
      <c r="E525" s="122"/>
      <c r="F525" s="122"/>
      <c r="G525" s="122"/>
      <c r="H525" s="122"/>
      <c r="I525" s="122"/>
      <c r="J525" s="122"/>
      <c r="K525" s="122"/>
      <c r="L525" s="122"/>
      <c r="M525" s="123"/>
      <c r="N525" s="123"/>
      <c r="O525" s="122"/>
      <c r="P525" s="124"/>
      <c r="Q525" s="122"/>
      <c r="R525" s="122"/>
      <c r="S525" s="122"/>
      <c r="T525" s="122"/>
      <c r="U525" s="122"/>
      <c r="V525" s="124"/>
      <c r="W525" s="125"/>
      <c r="X525" s="122"/>
      <c r="Y525" s="122"/>
      <c r="Z525" s="122"/>
      <c r="AA525" s="126"/>
      <c r="AB525" s="122"/>
      <c r="AC525" s="122"/>
      <c r="AD525" s="127"/>
      <c r="AE525" s="127"/>
      <c r="AF525" s="127"/>
      <c r="AG525" s="127"/>
      <c r="AH525" s="124"/>
      <c r="AI525" s="127"/>
      <c r="AJ525" s="127"/>
      <c r="AK525" s="126"/>
      <c r="AL525" s="122"/>
      <c r="AM525" s="122"/>
      <c r="AN525" s="122"/>
      <c r="AO525" s="122"/>
      <c r="AP525" s="122"/>
      <c r="AQ525" s="124"/>
    </row>
    <row r="526" spans="1:43" ht="15.75" customHeight="1">
      <c r="A526" s="122"/>
      <c r="B526" s="122"/>
      <c r="C526" s="122"/>
      <c r="D526" s="122"/>
      <c r="E526" s="122"/>
      <c r="F526" s="122"/>
      <c r="G526" s="122"/>
      <c r="H526" s="122"/>
      <c r="I526" s="122"/>
      <c r="J526" s="122"/>
      <c r="K526" s="122"/>
      <c r="L526" s="122"/>
      <c r="M526" s="123"/>
      <c r="N526" s="123"/>
      <c r="O526" s="122"/>
      <c r="P526" s="124"/>
      <c r="Q526" s="122"/>
      <c r="R526" s="122"/>
      <c r="S526" s="122"/>
      <c r="T526" s="122"/>
      <c r="U526" s="122"/>
      <c r="V526" s="124"/>
      <c r="W526" s="125"/>
      <c r="X526" s="122"/>
      <c r="Y526" s="122"/>
      <c r="Z526" s="122"/>
      <c r="AA526" s="126"/>
      <c r="AB526" s="122"/>
      <c r="AC526" s="122"/>
      <c r="AD526" s="127"/>
      <c r="AE526" s="127"/>
      <c r="AF526" s="127"/>
      <c r="AG526" s="127"/>
      <c r="AH526" s="124"/>
      <c r="AI526" s="127"/>
      <c r="AJ526" s="127"/>
      <c r="AK526" s="126"/>
      <c r="AL526" s="122"/>
      <c r="AM526" s="122"/>
      <c r="AN526" s="122"/>
      <c r="AO526" s="122"/>
      <c r="AP526" s="122"/>
      <c r="AQ526" s="124"/>
    </row>
    <row r="527" spans="1:43" ht="15.75" customHeight="1">
      <c r="A527" s="122"/>
      <c r="B527" s="122"/>
      <c r="C527" s="122"/>
      <c r="D527" s="122"/>
      <c r="E527" s="122"/>
      <c r="F527" s="122"/>
      <c r="G527" s="122"/>
      <c r="H527" s="122"/>
      <c r="I527" s="122"/>
      <c r="J527" s="122"/>
      <c r="K527" s="122"/>
      <c r="L527" s="122"/>
      <c r="M527" s="123"/>
      <c r="N527" s="123"/>
      <c r="O527" s="122"/>
      <c r="P527" s="124"/>
      <c r="Q527" s="122"/>
      <c r="R527" s="122"/>
      <c r="S527" s="122"/>
      <c r="T527" s="122"/>
      <c r="U527" s="122"/>
      <c r="V527" s="124"/>
      <c r="W527" s="125"/>
      <c r="X527" s="122"/>
      <c r="Y527" s="122"/>
      <c r="Z527" s="122"/>
      <c r="AA527" s="126"/>
      <c r="AB527" s="122"/>
      <c r="AC527" s="122"/>
      <c r="AD527" s="127"/>
      <c r="AE527" s="127"/>
      <c r="AF527" s="127"/>
      <c r="AG527" s="127"/>
      <c r="AH527" s="124"/>
      <c r="AI527" s="127"/>
      <c r="AJ527" s="127"/>
      <c r="AK527" s="126"/>
      <c r="AL527" s="122"/>
      <c r="AM527" s="122"/>
      <c r="AN527" s="122"/>
      <c r="AO527" s="122"/>
      <c r="AP527" s="122"/>
      <c r="AQ527" s="124"/>
    </row>
    <row r="528" spans="1:43" ht="15.75" customHeight="1">
      <c r="A528" s="122"/>
      <c r="B528" s="122"/>
      <c r="C528" s="122"/>
      <c r="D528" s="122"/>
      <c r="E528" s="122"/>
      <c r="F528" s="122"/>
      <c r="G528" s="122"/>
      <c r="H528" s="122"/>
      <c r="I528" s="122"/>
      <c r="J528" s="122"/>
      <c r="K528" s="122"/>
      <c r="L528" s="122"/>
      <c r="M528" s="123"/>
      <c r="N528" s="123"/>
      <c r="O528" s="122"/>
      <c r="P528" s="124"/>
      <c r="Q528" s="122"/>
      <c r="R528" s="122"/>
      <c r="S528" s="122"/>
      <c r="T528" s="122"/>
      <c r="U528" s="122"/>
      <c r="V528" s="124"/>
      <c r="W528" s="125"/>
      <c r="X528" s="122"/>
      <c r="Y528" s="122"/>
      <c r="Z528" s="122"/>
      <c r="AA528" s="126"/>
      <c r="AB528" s="122"/>
      <c r="AC528" s="122"/>
      <c r="AD528" s="127"/>
      <c r="AE528" s="127"/>
      <c r="AF528" s="127"/>
      <c r="AG528" s="127"/>
      <c r="AH528" s="124"/>
      <c r="AI528" s="127"/>
      <c r="AJ528" s="127"/>
      <c r="AK528" s="126"/>
      <c r="AL528" s="122"/>
      <c r="AM528" s="122"/>
      <c r="AN528" s="122"/>
      <c r="AO528" s="122"/>
      <c r="AP528" s="122"/>
      <c r="AQ528" s="124"/>
    </row>
    <row r="529" spans="1:43" ht="15.75" customHeight="1">
      <c r="A529" s="122"/>
      <c r="B529" s="122"/>
      <c r="C529" s="122"/>
      <c r="D529" s="122"/>
      <c r="E529" s="122"/>
      <c r="F529" s="122"/>
      <c r="G529" s="122"/>
      <c r="H529" s="122"/>
      <c r="I529" s="122"/>
      <c r="J529" s="122"/>
      <c r="K529" s="122"/>
      <c r="L529" s="122"/>
      <c r="M529" s="123"/>
      <c r="N529" s="123"/>
      <c r="O529" s="122"/>
      <c r="P529" s="124"/>
      <c r="Q529" s="122"/>
      <c r="R529" s="122"/>
      <c r="S529" s="122"/>
      <c r="T529" s="122"/>
      <c r="U529" s="122"/>
      <c r="V529" s="124"/>
      <c r="W529" s="125"/>
      <c r="X529" s="122"/>
      <c r="Y529" s="122"/>
      <c r="Z529" s="122"/>
      <c r="AA529" s="126"/>
      <c r="AB529" s="122"/>
      <c r="AC529" s="122"/>
      <c r="AD529" s="127"/>
      <c r="AE529" s="127"/>
      <c r="AF529" s="127"/>
      <c r="AG529" s="127"/>
      <c r="AH529" s="124"/>
      <c r="AI529" s="127"/>
      <c r="AJ529" s="127"/>
      <c r="AK529" s="126"/>
      <c r="AL529" s="122"/>
      <c r="AM529" s="122"/>
      <c r="AN529" s="122"/>
      <c r="AO529" s="122"/>
      <c r="AP529" s="122"/>
      <c r="AQ529" s="124"/>
    </row>
    <row r="530" spans="1:43" ht="15.75" customHeight="1">
      <c r="A530" s="122"/>
      <c r="B530" s="122"/>
      <c r="C530" s="122"/>
      <c r="D530" s="122"/>
      <c r="E530" s="122"/>
      <c r="F530" s="122"/>
      <c r="G530" s="122"/>
      <c r="H530" s="122"/>
      <c r="I530" s="122"/>
      <c r="J530" s="122"/>
      <c r="K530" s="122"/>
      <c r="L530" s="122"/>
      <c r="M530" s="123"/>
      <c r="N530" s="123"/>
      <c r="O530" s="122"/>
      <c r="P530" s="124"/>
      <c r="Q530" s="122"/>
      <c r="R530" s="122"/>
      <c r="S530" s="122"/>
      <c r="T530" s="122"/>
      <c r="U530" s="122"/>
      <c r="V530" s="124"/>
      <c r="W530" s="125"/>
      <c r="X530" s="122"/>
      <c r="Y530" s="122"/>
      <c r="Z530" s="122"/>
      <c r="AA530" s="126"/>
      <c r="AB530" s="122"/>
      <c r="AC530" s="122"/>
      <c r="AD530" s="127"/>
      <c r="AE530" s="127"/>
      <c r="AF530" s="127"/>
      <c r="AG530" s="127"/>
      <c r="AH530" s="124"/>
      <c r="AI530" s="127"/>
      <c r="AJ530" s="127"/>
      <c r="AK530" s="126"/>
      <c r="AL530" s="122"/>
      <c r="AM530" s="122"/>
      <c r="AN530" s="122"/>
      <c r="AO530" s="122"/>
      <c r="AP530" s="122"/>
      <c r="AQ530" s="124"/>
    </row>
    <row r="531" spans="1:43" ht="15.75" customHeight="1">
      <c r="A531" s="122"/>
      <c r="B531" s="122"/>
      <c r="C531" s="122"/>
      <c r="D531" s="122"/>
      <c r="E531" s="122"/>
      <c r="F531" s="122"/>
      <c r="G531" s="122"/>
      <c r="H531" s="122"/>
      <c r="I531" s="122"/>
      <c r="J531" s="122"/>
      <c r="K531" s="122"/>
      <c r="L531" s="122"/>
      <c r="M531" s="123"/>
      <c r="N531" s="123"/>
      <c r="O531" s="122"/>
      <c r="P531" s="124"/>
      <c r="Q531" s="122"/>
      <c r="R531" s="122"/>
      <c r="S531" s="122"/>
      <c r="T531" s="122"/>
      <c r="U531" s="122"/>
      <c r="V531" s="124"/>
      <c r="W531" s="125"/>
      <c r="X531" s="122"/>
      <c r="Y531" s="122"/>
      <c r="Z531" s="122"/>
      <c r="AA531" s="126"/>
      <c r="AB531" s="122"/>
      <c r="AC531" s="122"/>
      <c r="AD531" s="127"/>
      <c r="AE531" s="127"/>
      <c r="AF531" s="127"/>
      <c r="AG531" s="127"/>
      <c r="AH531" s="124"/>
      <c r="AI531" s="127"/>
      <c r="AJ531" s="127"/>
      <c r="AK531" s="126"/>
      <c r="AL531" s="122"/>
      <c r="AM531" s="122"/>
      <c r="AN531" s="122"/>
      <c r="AO531" s="122"/>
      <c r="AP531" s="122"/>
      <c r="AQ531" s="124"/>
    </row>
    <row r="532" spans="1:43" ht="15.75" customHeight="1">
      <c r="A532" s="122"/>
      <c r="B532" s="122"/>
      <c r="C532" s="122"/>
      <c r="D532" s="122"/>
      <c r="E532" s="122"/>
      <c r="F532" s="122"/>
      <c r="G532" s="122"/>
      <c r="H532" s="122"/>
      <c r="I532" s="122"/>
      <c r="J532" s="122"/>
      <c r="K532" s="122"/>
      <c r="L532" s="122"/>
      <c r="M532" s="123"/>
      <c r="N532" s="123"/>
      <c r="O532" s="122"/>
      <c r="P532" s="124"/>
      <c r="Q532" s="122"/>
      <c r="R532" s="122"/>
      <c r="S532" s="122"/>
      <c r="T532" s="122"/>
      <c r="U532" s="122"/>
      <c r="V532" s="124"/>
      <c r="W532" s="125"/>
      <c r="X532" s="122"/>
      <c r="Y532" s="122"/>
      <c r="Z532" s="122"/>
      <c r="AA532" s="126"/>
      <c r="AB532" s="122"/>
      <c r="AC532" s="122"/>
      <c r="AD532" s="127"/>
      <c r="AE532" s="127"/>
      <c r="AF532" s="127"/>
      <c r="AG532" s="127"/>
      <c r="AH532" s="124"/>
      <c r="AI532" s="127"/>
      <c r="AJ532" s="127"/>
      <c r="AK532" s="126"/>
      <c r="AL532" s="122"/>
      <c r="AM532" s="122"/>
      <c r="AN532" s="122"/>
      <c r="AO532" s="122"/>
      <c r="AP532" s="122"/>
      <c r="AQ532" s="124"/>
    </row>
    <row r="533" spans="1:43" ht="15.75" customHeight="1">
      <c r="A533" s="122"/>
      <c r="B533" s="122"/>
      <c r="C533" s="122"/>
      <c r="D533" s="122"/>
      <c r="E533" s="122"/>
      <c r="F533" s="122"/>
      <c r="G533" s="122"/>
      <c r="H533" s="122"/>
      <c r="I533" s="122"/>
      <c r="J533" s="122"/>
      <c r="K533" s="122"/>
      <c r="L533" s="122"/>
      <c r="M533" s="123"/>
      <c r="N533" s="123"/>
      <c r="O533" s="122"/>
      <c r="P533" s="124"/>
      <c r="Q533" s="122"/>
      <c r="R533" s="122"/>
      <c r="S533" s="122"/>
      <c r="T533" s="122"/>
      <c r="U533" s="122"/>
      <c r="V533" s="124"/>
      <c r="W533" s="125"/>
      <c r="X533" s="122"/>
      <c r="Y533" s="122"/>
      <c r="Z533" s="122"/>
      <c r="AA533" s="126"/>
      <c r="AB533" s="122"/>
      <c r="AC533" s="122"/>
      <c r="AD533" s="127"/>
      <c r="AE533" s="127"/>
      <c r="AF533" s="127"/>
      <c r="AG533" s="127"/>
      <c r="AH533" s="124"/>
      <c r="AI533" s="127"/>
      <c r="AJ533" s="127"/>
      <c r="AK533" s="126"/>
      <c r="AL533" s="122"/>
      <c r="AM533" s="122"/>
      <c r="AN533" s="122"/>
      <c r="AO533" s="122"/>
      <c r="AP533" s="122"/>
      <c r="AQ533" s="124"/>
    </row>
    <row r="534" spans="1:43" ht="15.75" customHeight="1">
      <c r="A534" s="122"/>
      <c r="B534" s="122"/>
      <c r="C534" s="122"/>
      <c r="D534" s="122"/>
      <c r="E534" s="122"/>
      <c r="F534" s="122"/>
      <c r="G534" s="122"/>
      <c r="H534" s="122"/>
      <c r="I534" s="122"/>
      <c r="J534" s="122"/>
      <c r="K534" s="122"/>
      <c r="L534" s="122"/>
      <c r="M534" s="123"/>
      <c r="N534" s="123"/>
      <c r="O534" s="122"/>
      <c r="P534" s="124"/>
      <c r="Q534" s="122"/>
      <c r="R534" s="122"/>
      <c r="S534" s="122"/>
      <c r="T534" s="122"/>
      <c r="U534" s="122"/>
      <c r="V534" s="124"/>
      <c r="W534" s="125"/>
      <c r="X534" s="122"/>
      <c r="Y534" s="122"/>
      <c r="Z534" s="122"/>
      <c r="AA534" s="126"/>
      <c r="AB534" s="122"/>
      <c r="AC534" s="122"/>
      <c r="AD534" s="127"/>
      <c r="AE534" s="127"/>
      <c r="AF534" s="127"/>
      <c r="AG534" s="127"/>
      <c r="AH534" s="124"/>
      <c r="AI534" s="127"/>
      <c r="AJ534" s="127"/>
      <c r="AK534" s="126"/>
      <c r="AL534" s="122"/>
      <c r="AM534" s="122"/>
      <c r="AN534" s="122"/>
      <c r="AO534" s="122"/>
      <c r="AP534" s="122"/>
      <c r="AQ534" s="124"/>
    </row>
    <row r="535" spans="1:43" ht="15.75" customHeight="1">
      <c r="A535" s="122"/>
      <c r="B535" s="122"/>
      <c r="C535" s="122"/>
      <c r="D535" s="122"/>
      <c r="E535" s="122"/>
      <c r="F535" s="122"/>
      <c r="G535" s="122"/>
      <c r="H535" s="122"/>
      <c r="I535" s="122"/>
      <c r="J535" s="122"/>
      <c r="K535" s="122"/>
      <c r="L535" s="122"/>
      <c r="M535" s="123"/>
      <c r="N535" s="123"/>
      <c r="O535" s="122"/>
      <c r="P535" s="124"/>
      <c r="Q535" s="122"/>
      <c r="R535" s="122"/>
      <c r="S535" s="122"/>
      <c r="T535" s="122"/>
      <c r="U535" s="122"/>
      <c r="V535" s="124"/>
      <c r="W535" s="125"/>
      <c r="X535" s="122"/>
      <c r="Y535" s="122"/>
      <c r="Z535" s="122"/>
      <c r="AA535" s="126"/>
      <c r="AB535" s="122"/>
      <c r="AC535" s="122"/>
      <c r="AD535" s="127"/>
      <c r="AE535" s="127"/>
      <c r="AF535" s="127"/>
      <c r="AG535" s="127"/>
      <c r="AH535" s="124"/>
      <c r="AI535" s="127"/>
      <c r="AJ535" s="127"/>
      <c r="AK535" s="126"/>
      <c r="AL535" s="122"/>
      <c r="AM535" s="122"/>
      <c r="AN535" s="122"/>
      <c r="AO535" s="122"/>
      <c r="AP535" s="122"/>
      <c r="AQ535" s="124"/>
    </row>
    <row r="536" spans="1:43" ht="15.75" customHeight="1">
      <c r="A536" s="122"/>
      <c r="B536" s="122"/>
      <c r="C536" s="122"/>
      <c r="D536" s="122"/>
      <c r="E536" s="122"/>
      <c r="F536" s="122"/>
      <c r="G536" s="122"/>
      <c r="H536" s="122"/>
      <c r="I536" s="122"/>
      <c r="J536" s="122"/>
      <c r="K536" s="122"/>
      <c r="L536" s="122"/>
      <c r="M536" s="123"/>
      <c r="N536" s="123"/>
      <c r="O536" s="122"/>
      <c r="P536" s="124"/>
      <c r="Q536" s="122"/>
      <c r="R536" s="122"/>
      <c r="S536" s="122"/>
      <c r="T536" s="122"/>
      <c r="U536" s="122"/>
      <c r="V536" s="124"/>
      <c r="W536" s="125"/>
      <c r="X536" s="122"/>
      <c r="Y536" s="122"/>
      <c r="Z536" s="122"/>
      <c r="AA536" s="126"/>
      <c r="AB536" s="122"/>
      <c r="AC536" s="122"/>
      <c r="AD536" s="127"/>
      <c r="AE536" s="127"/>
      <c r="AF536" s="127"/>
      <c r="AG536" s="127"/>
      <c r="AH536" s="124"/>
      <c r="AI536" s="127"/>
      <c r="AJ536" s="127"/>
      <c r="AK536" s="126"/>
      <c r="AL536" s="122"/>
      <c r="AM536" s="122"/>
      <c r="AN536" s="122"/>
      <c r="AO536" s="122"/>
      <c r="AP536" s="122"/>
      <c r="AQ536" s="124"/>
    </row>
    <row r="537" spans="1:43" ht="15.75" customHeight="1">
      <c r="A537" s="122"/>
      <c r="B537" s="122"/>
      <c r="C537" s="122"/>
      <c r="D537" s="122"/>
      <c r="E537" s="122"/>
      <c r="F537" s="122"/>
      <c r="G537" s="122"/>
      <c r="H537" s="122"/>
      <c r="I537" s="122"/>
      <c r="J537" s="122"/>
      <c r="K537" s="122"/>
      <c r="L537" s="122"/>
      <c r="M537" s="123"/>
      <c r="N537" s="123"/>
      <c r="O537" s="122"/>
      <c r="P537" s="124"/>
      <c r="Q537" s="122"/>
      <c r="R537" s="122"/>
      <c r="S537" s="122"/>
      <c r="T537" s="122"/>
      <c r="U537" s="122"/>
      <c r="V537" s="124"/>
      <c r="W537" s="125"/>
      <c r="X537" s="122"/>
      <c r="Y537" s="122"/>
      <c r="Z537" s="122"/>
      <c r="AA537" s="126"/>
      <c r="AB537" s="122"/>
      <c r="AC537" s="122"/>
      <c r="AD537" s="127"/>
      <c r="AE537" s="127"/>
      <c r="AF537" s="127"/>
      <c r="AG537" s="127"/>
      <c r="AH537" s="124"/>
      <c r="AI537" s="127"/>
      <c r="AJ537" s="127"/>
      <c r="AK537" s="126"/>
      <c r="AL537" s="122"/>
      <c r="AM537" s="122"/>
      <c r="AN537" s="122"/>
      <c r="AO537" s="122"/>
      <c r="AP537" s="122"/>
      <c r="AQ537" s="124"/>
    </row>
    <row r="538" spans="1:43" ht="15.75" customHeight="1">
      <c r="A538" s="122"/>
      <c r="B538" s="122"/>
      <c r="C538" s="122"/>
      <c r="D538" s="122"/>
      <c r="E538" s="122"/>
      <c r="F538" s="122"/>
      <c r="G538" s="122"/>
      <c r="H538" s="122"/>
      <c r="I538" s="122"/>
      <c r="J538" s="122"/>
      <c r="K538" s="122"/>
      <c r="L538" s="122"/>
      <c r="M538" s="123"/>
      <c r="N538" s="123"/>
      <c r="O538" s="122"/>
      <c r="P538" s="124"/>
      <c r="Q538" s="122"/>
      <c r="R538" s="122"/>
      <c r="S538" s="122"/>
      <c r="T538" s="122"/>
      <c r="U538" s="122"/>
      <c r="V538" s="124"/>
      <c r="W538" s="125"/>
      <c r="X538" s="122"/>
      <c r="Y538" s="122"/>
      <c r="Z538" s="122"/>
      <c r="AA538" s="126"/>
      <c r="AB538" s="122"/>
      <c r="AC538" s="122"/>
      <c r="AD538" s="127"/>
      <c r="AE538" s="127"/>
      <c r="AF538" s="127"/>
      <c r="AG538" s="127"/>
      <c r="AH538" s="124"/>
      <c r="AI538" s="127"/>
      <c r="AJ538" s="127"/>
      <c r="AK538" s="126"/>
      <c r="AL538" s="122"/>
      <c r="AM538" s="122"/>
      <c r="AN538" s="122"/>
      <c r="AO538" s="122"/>
      <c r="AP538" s="122"/>
      <c r="AQ538" s="124"/>
    </row>
    <row r="539" spans="1:43" ht="15.75" customHeight="1">
      <c r="A539" s="122"/>
      <c r="B539" s="122"/>
      <c r="C539" s="122"/>
      <c r="D539" s="122"/>
      <c r="E539" s="122"/>
      <c r="F539" s="122"/>
      <c r="G539" s="122"/>
      <c r="H539" s="122"/>
      <c r="I539" s="122"/>
      <c r="J539" s="122"/>
      <c r="K539" s="122"/>
      <c r="L539" s="122"/>
      <c r="M539" s="123"/>
      <c r="N539" s="123"/>
      <c r="O539" s="122"/>
      <c r="P539" s="124"/>
      <c r="Q539" s="122"/>
      <c r="R539" s="122"/>
      <c r="S539" s="122"/>
      <c r="T539" s="122"/>
      <c r="U539" s="122"/>
      <c r="V539" s="124"/>
      <c r="W539" s="125"/>
      <c r="X539" s="122"/>
      <c r="Y539" s="122"/>
      <c r="Z539" s="122"/>
      <c r="AA539" s="126"/>
      <c r="AB539" s="122"/>
      <c r="AC539" s="122"/>
      <c r="AD539" s="127"/>
      <c r="AE539" s="127"/>
      <c r="AF539" s="127"/>
      <c r="AG539" s="127"/>
      <c r="AH539" s="124"/>
      <c r="AI539" s="127"/>
      <c r="AJ539" s="127"/>
      <c r="AK539" s="126"/>
      <c r="AL539" s="122"/>
      <c r="AM539" s="122"/>
      <c r="AN539" s="122"/>
      <c r="AO539" s="122"/>
      <c r="AP539" s="122"/>
      <c r="AQ539" s="124"/>
    </row>
    <row r="540" spans="1:43" ht="15.75" customHeight="1">
      <c r="A540" s="122"/>
      <c r="B540" s="122"/>
      <c r="C540" s="122"/>
      <c r="D540" s="122"/>
      <c r="E540" s="122"/>
      <c r="F540" s="122"/>
      <c r="G540" s="122"/>
      <c r="H540" s="122"/>
      <c r="I540" s="122"/>
      <c r="J540" s="122"/>
      <c r="K540" s="122"/>
      <c r="L540" s="122"/>
      <c r="M540" s="123"/>
      <c r="N540" s="123"/>
      <c r="O540" s="122"/>
      <c r="P540" s="124"/>
      <c r="Q540" s="122"/>
      <c r="R540" s="122"/>
      <c r="S540" s="122"/>
      <c r="T540" s="122"/>
      <c r="U540" s="122"/>
      <c r="V540" s="124"/>
      <c r="W540" s="125"/>
      <c r="X540" s="122"/>
      <c r="Y540" s="122"/>
      <c r="Z540" s="122"/>
      <c r="AA540" s="126"/>
      <c r="AB540" s="122"/>
      <c r="AC540" s="122"/>
      <c r="AD540" s="127"/>
      <c r="AE540" s="127"/>
      <c r="AF540" s="127"/>
      <c r="AG540" s="127"/>
      <c r="AH540" s="124"/>
      <c r="AI540" s="127"/>
      <c r="AJ540" s="127"/>
      <c r="AK540" s="126"/>
      <c r="AL540" s="122"/>
      <c r="AM540" s="122"/>
      <c r="AN540" s="122"/>
      <c r="AO540" s="122"/>
      <c r="AP540" s="122"/>
      <c r="AQ540" s="124"/>
    </row>
    <row r="541" spans="1:43" ht="15.75" customHeight="1">
      <c r="A541" s="122"/>
      <c r="B541" s="122"/>
      <c r="C541" s="122"/>
      <c r="D541" s="122"/>
      <c r="E541" s="122"/>
      <c r="F541" s="122"/>
      <c r="G541" s="122"/>
      <c r="H541" s="122"/>
      <c r="I541" s="122"/>
      <c r="J541" s="122"/>
      <c r="K541" s="122"/>
      <c r="L541" s="122"/>
      <c r="M541" s="123"/>
      <c r="N541" s="123"/>
      <c r="O541" s="122"/>
      <c r="P541" s="124"/>
      <c r="Q541" s="122"/>
      <c r="R541" s="122"/>
      <c r="S541" s="122"/>
      <c r="T541" s="122"/>
      <c r="U541" s="122"/>
      <c r="V541" s="124"/>
      <c r="W541" s="125"/>
      <c r="X541" s="122"/>
      <c r="Y541" s="122"/>
      <c r="Z541" s="122"/>
      <c r="AA541" s="126"/>
      <c r="AB541" s="122"/>
      <c r="AC541" s="122"/>
      <c r="AD541" s="127"/>
      <c r="AE541" s="127"/>
      <c r="AF541" s="127"/>
      <c r="AG541" s="127"/>
      <c r="AH541" s="124"/>
      <c r="AI541" s="127"/>
      <c r="AJ541" s="127"/>
      <c r="AK541" s="126"/>
      <c r="AL541" s="122"/>
      <c r="AM541" s="122"/>
      <c r="AN541" s="122"/>
      <c r="AO541" s="122"/>
      <c r="AP541" s="122"/>
      <c r="AQ541" s="124"/>
    </row>
    <row r="542" spans="1:43" ht="15.75" customHeight="1">
      <c r="A542" s="122"/>
      <c r="B542" s="122"/>
      <c r="C542" s="122"/>
      <c r="D542" s="122"/>
      <c r="E542" s="122"/>
      <c r="F542" s="122"/>
      <c r="G542" s="122"/>
      <c r="H542" s="122"/>
      <c r="I542" s="122"/>
      <c r="J542" s="122"/>
      <c r="K542" s="122"/>
      <c r="L542" s="122"/>
      <c r="M542" s="123"/>
      <c r="N542" s="123"/>
      <c r="O542" s="122"/>
      <c r="P542" s="124"/>
      <c r="Q542" s="122"/>
      <c r="R542" s="122"/>
      <c r="S542" s="122"/>
      <c r="T542" s="122"/>
      <c r="U542" s="122"/>
      <c r="V542" s="124"/>
      <c r="W542" s="125"/>
      <c r="X542" s="122"/>
      <c r="Y542" s="122"/>
      <c r="Z542" s="122"/>
      <c r="AA542" s="126"/>
      <c r="AB542" s="122"/>
      <c r="AC542" s="122"/>
      <c r="AD542" s="127"/>
      <c r="AE542" s="127"/>
      <c r="AF542" s="127"/>
      <c r="AG542" s="127"/>
      <c r="AH542" s="124"/>
      <c r="AI542" s="127"/>
      <c r="AJ542" s="127"/>
      <c r="AK542" s="126"/>
      <c r="AL542" s="122"/>
      <c r="AM542" s="122"/>
      <c r="AN542" s="122"/>
      <c r="AO542" s="122"/>
      <c r="AP542" s="122"/>
      <c r="AQ542" s="124"/>
    </row>
    <row r="543" spans="1:43" ht="15.75" customHeight="1">
      <c r="A543" s="122"/>
      <c r="B543" s="122"/>
      <c r="C543" s="122"/>
      <c r="D543" s="122"/>
      <c r="E543" s="122"/>
      <c r="F543" s="122"/>
      <c r="G543" s="122"/>
      <c r="H543" s="122"/>
      <c r="I543" s="122"/>
      <c r="J543" s="122"/>
      <c r="K543" s="122"/>
      <c r="L543" s="122"/>
      <c r="M543" s="123"/>
      <c r="N543" s="123"/>
      <c r="O543" s="122"/>
      <c r="P543" s="124"/>
      <c r="Q543" s="122"/>
      <c r="R543" s="122"/>
      <c r="S543" s="122"/>
      <c r="T543" s="122"/>
      <c r="U543" s="122"/>
      <c r="V543" s="124"/>
      <c r="W543" s="125"/>
      <c r="X543" s="122"/>
      <c r="Y543" s="122"/>
      <c r="Z543" s="122"/>
      <c r="AA543" s="126"/>
      <c r="AB543" s="122"/>
      <c r="AC543" s="122"/>
      <c r="AD543" s="127"/>
      <c r="AE543" s="127"/>
      <c r="AF543" s="127"/>
      <c r="AG543" s="127"/>
      <c r="AH543" s="124"/>
      <c r="AI543" s="127"/>
      <c r="AJ543" s="127"/>
      <c r="AK543" s="126"/>
      <c r="AL543" s="122"/>
      <c r="AM543" s="122"/>
      <c r="AN543" s="122"/>
      <c r="AO543" s="122"/>
      <c r="AP543" s="122"/>
      <c r="AQ543" s="124"/>
    </row>
    <row r="544" spans="1:43" ht="15.75" customHeight="1">
      <c r="A544" s="122"/>
      <c r="B544" s="122"/>
      <c r="C544" s="122"/>
      <c r="D544" s="122"/>
      <c r="E544" s="122"/>
      <c r="F544" s="122"/>
      <c r="G544" s="122"/>
      <c r="H544" s="122"/>
      <c r="I544" s="122"/>
      <c r="J544" s="122"/>
      <c r="K544" s="122"/>
      <c r="L544" s="122"/>
      <c r="M544" s="123"/>
      <c r="N544" s="123"/>
      <c r="O544" s="122"/>
      <c r="P544" s="124"/>
      <c r="Q544" s="122"/>
      <c r="R544" s="122"/>
      <c r="S544" s="122"/>
      <c r="T544" s="122"/>
      <c r="U544" s="122"/>
      <c r="V544" s="124"/>
      <c r="W544" s="125"/>
      <c r="X544" s="122"/>
      <c r="Y544" s="122"/>
      <c r="Z544" s="122"/>
      <c r="AA544" s="126"/>
      <c r="AB544" s="122"/>
      <c r="AC544" s="122"/>
      <c r="AD544" s="127"/>
      <c r="AE544" s="127"/>
      <c r="AF544" s="127"/>
      <c r="AG544" s="127"/>
      <c r="AH544" s="124"/>
      <c r="AI544" s="127"/>
      <c r="AJ544" s="127"/>
      <c r="AK544" s="126"/>
      <c r="AL544" s="122"/>
      <c r="AM544" s="122"/>
      <c r="AN544" s="122"/>
      <c r="AO544" s="122"/>
      <c r="AP544" s="122"/>
      <c r="AQ544" s="124"/>
    </row>
    <row r="545" spans="1:43" ht="15.75" customHeight="1">
      <c r="A545" s="122"/>
      <c r="B545" s="122"/>
      <c r="C545" s="122"/>
      <c r="D545" s="122"/>
      <c r="E545" s="122"/>
      <c r="F545" s="122"/>
      <c r="G545" s="122"/>
      <c r="H545" s="122"/>
      <c r="I545" s="122"/>
      <c r="J545" s="122"/>
      <c r="K545" s="122"/>
      <c r="L545" s="122"/>
      <c r="M545" s="123"/>
      <c r="N545" s="123"/>
      <c r="O545" s="122"/>
      <c r="P545" s="124"/>
      <c r="Q545" s="122"/>
      <c r="R545" s="122"/>
      <c r="S545" s="122"/>
      <c r="T545" s="122"/>
      <c r="U545" s="122"/>
      <c r="V545" s="124"/>
      <c r="W545" s="125"/>
      <c r="X545" s="122"/>
      <c r="Y545" s="122"/>
      <c r="Z545" s="122"/>
      <c r="AA545" s="126"/>
      <c r="AB545" s="122"/>
      <c r="AC545" s="122"/>
      <c r="AD545" s="127"/>
      <c r="AE545" s="127"/>
      <c r="AF545" s="127"/>
      <c r="AG545" s="127"/>
      <c r="AH545" s="124"/>
      <c r="AI545" s="127"/>
      <c r="AJ545" s="127"/>
      <c r="AK545" s="126"/>
      <c r="AL545" s="122"/>
      <c r="AM545" s="122"/>
      <c r="AN545" s="122"/>
      <c r="AO545" s="122"/>
      <c r="AP545" s="122"/>
      <c r="AQ545" s="124"/>
    </row>
    <row r="546" spans="1:43" ht="15.75" customHeight="1">
      <c r="A546" s="122"/>
      <c r="B546" s="122"/>
      <c r="C546" s="122"/>
      <c r="D546" s="122"/>
      <c r="E546" s="122"/>
      <c r="F546" s="122"/>
      <c r="G546" s="122"/>
      <c r="H546" s="122"/>
      <c r="I546" s="122"/>
      <c r="J546" s="122"/>
      <c r="K546" s="122"/>
      <c r="L546" s="122"/>
      <c r="M546" s="123"/>
      <c r="N546" s="123"/>
      <c r="O546" s="122"/>
      <c r="P546" s="124"/>
      <c r="Q546" s="122"/>
      <c r="R546" s="122"/>
      <c r="S546" s="122"/>
      <c r="T546" s="122"/>
      <c r="U546" s="122"/>
      <c r="V546" s="124"/>
      <c r="W546" s="125"/>
      <c r="X546" s="122"/>
      <c r="Y546" s="122"/>
      <c r="Z546" s="122"/>
      <c r="AA546" s="126"/>
      <c r="AB546" s="122"/>
      <c r="AC546" s="122"/>
      <c r="AD546" s="127"/>
      <c r="AE546" s="127"/>
      <c r="AF546" s="127"/>
      <c r="AG546" s="127"/>
      <c r="AH546" s="124"/>
      <c r="AI546" s="127"/>
      <c r="AJ546" s="127"/>
      <c r="AK546" s="126"/>
      <c r="AL546" s="122"/>
      <c r="AM546" s="122"/>
      <c r="AN546" s="122"/>
      <c r="AO546" s="122"/>
      <c r="AP546" s="122"/>
      <c r="AQ546" s="124"/>
    </row>
    <row r="547" spans="1:43" ht="15.75" customHeight="1">
      <c r="A547" s="122"/>
      <c r="B547" s="122"/>
      <c r="C547" s="122"/>
      <c r="D547" s="122"/>
      <c r="E547" s="122"/>
      <c r="F547" s="122"/>
      <c r="G547" s="122"/>
      <c r="H547" s="122"/>
      <c r="I547" s="122"/>
      <c r="J547" s="122"/>
      <c r="K547" s="122"/>
      <c r="L547" s="122"/>
      <c r="M547" s="123"/>
      <c r="N547" s="123"/>
      <c r="O547" s="122"/>
      <c r="P547" s="124"/>
      <c r="Q547" s="122"/>
      <c r="R547" s="122"/>
      <c r="S547" s="122"/>
      <c r="T547" s="122"/>
      <c r="U547" s="122"/>
      <c r="V547" s="124"/>
      <c r="W547" s="125"/>
      <c r="X547" s="122"/>
      <c r="Y547" s="122"/>
      <c r="Z547" s="122"/>
      <c r="AA547" s="126"/>
      <c r="AB547" s="122"/>
      <c r="AC547" s="122"/>
      <c r="AD547" s="127"/>
      <c r="AE547" s="127"/>
      <c r="AF547" s="127"/>
      <c r="AG547" s="127"/>
      <c r="AH547" s="124"/>
      <c r="AI547" s="127"/>
      <c r="AJ547" s="127"/>
      <c r="AK547" s="126"/>
      <c r="AL547" s="122"/>
      <c r="AM547" s="122"/>
      <c r="AN547" s="122"/>
      <c r="AO547" s="122"/>
      <c r="AP547" s="122"/>
      <c r="AQ547" s="124"/>
    </row>
    <row r="548" spans="1:43" ht="15.75" customHeight="1">
      <c r="A548" s="122"/>
      <c r="B548" s="122"/>
      <c r="C548" s="122"/>
      <c r="D548" s="122"/>
      <c r="E548" s="122"/>
      <c r="F548" s="122"/>
      <c r="G548" s="122"/>
      <c r="H548" s="122"/>
      <c r="I548" s="122"/>
      <c r="J548" s="122"/>
      <c r="K548" s="122"/>
      <c r="L548" s="122"/>
      <c r="M548" s="123"/>
      <c r="N548" s="123"/>
      <c r="O548" s="122"/>
      <c r="P548" s="124"/>
      <c r="Q548" s="122"/>
      <c r="R548" s="122"/>
      <c r="S548" s="122"/>
      <c r="T548" s="122"/>
      <c r="U548" s="122"/>
      <c r="V548" s="124"/>
      <c r="W548" s="125"/>
      <c r="X548" s="122"/>
      <c r="Y548" s="122"/>
      <c r="Z548" s="122"/>
      <c r="AA548" s="126"/>
      <c r="AB548" s="122"/>
      <c r="AC548" s="122"/>
      <c r="AD548" s="127"/>
      <c r="AE548" s="127"/>
      <c r="AF548" s="127"/>
      <c r="AG548" s="127"/>
      <c r="AH548" s="124"/>
      <c r="AI548" s="127"/>
      <c r="AJ548" s="127"/>
      <c r="AK548" s="126"/>
      <c r="AL548" s="122"/>
      <c r="AM548" s="122"/>
      <c r="AN548" s="122"/>
      <c r="AO548" s="122"/>
      <c r="AP548" s="122"/>
      <c r="AQ548" s="124"/>
    </row>
    <row r="549" spans="1:43" ht="15.75" customHeight="1">
      <c r="A549" s="122"/>
      <c r="B549" s="122"/>
      <c r="C549" s="122"/>
      <c r="D549" s="122"/>
      <c r="E549" s="122"/>
      <c r="F549" s="122"/>
      <c r="G549" s="122"/>
      <c r="H549" s="122"/>
      <c r="I549" s="122"/>
      <c r="J549" s="122"/>
      <c r="K549" s="122"/>
      <c r="L549" s="122"/>
      <c r="M549" s="123"/>
      <c r="N549" s="123"/>
      <c r="O549" s="122"/>
      <c r="P549" s="124"/>
      <c r="Q549" s="122"/>
      <c r="R549" s="122"/>
      <c r="S549" s="122"/>
      <c r="T549" s="122"/>
      <c r="U549" s="122"/>
      <c r="V549" s="124"/>
      <c r="W549" s="125"/>
      <c r="X549" s="122"/>
      <c r="Y549" s="122"/>
      <c r="Z549" s="122"/>
      <c r="AA549" s="126"/>
      <c r="AB549" s="122"/>
      <c r="AC549" s="122"/>
      <c r="AD549" s="127"/>
      <c r="AE549" s="127"/>
      <c r="AF549" s="127"/>
      <c r="AG549" s="127"/>
      <c r="AH549" s="124"/>
      <c r="AI549" s="127"/>
      <c r="AJ549" s="127"/>
      <c r="AK549" s="126"/>
      <c r="AL549" s="122"/>
      <c r="AM549" s="122"/>
      <c r="AN549" s="122"/>
      <c r="AO549" s="122"/>
      <c r="AP549" s="122"/>
      <c r="AQ549" s="124"/>
    </row>
    <row r="550" spans="1:43" ht="15.75" customHeight="1">
      <c r="A550" s="122"/>
      <c r="B550" s="122"/>
      <c r="C550" s="122"/>
      <c r="D550" s="122"/>
      <c r="E550" s="122"/>
      <c r="F550" s="122"/>
      <c r="G550" s="122"/>
      <c r="H550" s="122"/>
      <c r="I550" s="122"/>
      <c r="J550" s="122"/>
      <c r="K550" s="122"/>
      <c r="L550" s="122"/>
      <c r="M550" s="123"/>
      <c r="N550" s="123"/>
      <c r="O550" s="122"/>
      <c r="P550" s="124"/>
      <c r="Q550" s="122"/>
      <c r="R550" s="122"/>
      <c r="S550" s="122"/>
      <c r="T550" s="122"/>
      <c r="U550" s="122"/>
      <c r="V550" s="124"/>
      <c r="W550" s="125"/>
      <c r="X550" s="122"/>
      <c r="Y550" s="122"/>
      <c r="Z550" s="122"/>
      <c r="AA550" s="126"/>
      <c r="AB550" s="122"/>
      <c r="AC550" s="122"/>
      <c r="AD550" s="127"/>
      <c r="AE550" s="127"/>
      <c r="AF550" s="127"/>
      <c r="AG550" s="127"/>
      <c r="AH550" s="124"/>
      <c r="AI550" s="127"/>
      <c r="AJ550" s="127"/>
      <c r="AK550" s="126"/>
      <c r="AL550" s="122"/>
      <c r="AM550" s="122"/>
      <c r="AN550" s="122"/>
      <c r="AO550" s="122"/>
      <c r="AP550" s="122"/>
      <c r="AQ550" s="124"/>
    </row>
    <row r="551" spans="1:43" ht="15.75" customHeight="1">
      <c r="A551" s="122"/>
      <c r="B551" s="122"/>
      <c r="C551" s="122"/>
      <c r="D551" s="122"/>
      <c r="E551" s="122"/>
      <c r="F551" s="122"/>
      <c r="G551" s="122"/>
      <c r="H551" s="122"/>
      <c r="I551" s="122"/>
      <c r="J551" s="122"/>
      <c r="K551" s="122"/>
      <c r="L551" s="122"/>
      <c r="M551" s="123"/>
      <c r="N551" s="123"/>
      <c r="O551" s="122"/>
      <c r="P551" s="124"/>
      <c r="Q551" s="122"/>
      <c r="R551" s="122"/>
      <c r="S551" s="122"/>
      <c r="T551" s="122"/>
      <c r="U551" s="122"/>
      <c r="V551" s="124"/>
      <c r="W551" s="125"/>
      <c r="X551" s="122"/>
      <c r="Y551" s="122"/>
      <c r="Z551" s="122"/>
      <c r="AA551" s="126"/>
      <c r="AB551" s="122"/>
      <c r="AC551" s="122"/>
      <c r="AD551" s="127"/>
      <c r="AE551" s="127"/>
      <c r="AF551" s="127"/>
      <c r="AG551" s="127"/>
      <c r="AH551" s="124"/>
      <c r="AI551" s="127"/>
      <c r="AJ551" s="127"/>
      <c r="AK551" s="126"/>
      <c r="AL551" s="122"/>
      <c r="AM551" s="122"/>
      <c r="AN551" s="122"/>
      <c r="AO551" s="122"/>
      <c r="AP551" s="122"/>
      <c r="AQ551" s="124"/>
    </row>
    <row r="552" spans="1:43" ht="15.75" customHeight="1">
      <c r="A552" s="122"/>
      <c r="B552" s="122"/>
      <c r="C552" s="122"/>
      <c r="D552" s="122"/>
      <c r="E552" s="122"/>
      <c r="F552" s="122"/>
      <c r="G552" s="122"/>
      <c r="H552" s="122"/>
      <c r="I552" s="122"/>
      <c r="J552" s="122"/>
      <c r="K552" s="122"/>
      <c r="L552" s="122"/>
      <c r="M552" s="123"/>
      <c r="N552" s="123"/>
      <c r="O552" s="122"/>
      <c r="P552" s="124"/>
      <c r="Q552" s="122"/>
      <c r="R552" s="122"/>
      <c r="S552" s="122"/>
      <c r="T552" s="122"/>
      <c r="U552" s="122"/>
      <c r="V552" s="124"/>
      <c r="W552" s="125"/>
      <c r="X552" s="122"/>
      <c r="Y552" s="122"/>
      <c r="Z552" s="122"/>
      <c r="AA552" s="126"/>
      <c r="AB552" s="122"/>
      <c r="AC552" s="122"/>
      <c r="AD552" s="127"/>
      <c r="AE552" s="127"/>
      <c r="AF552" s="127"/>
      <c r="AG552" s="127"/>
      <c r="AH552" s="124"/>
      <c r="AI552" s="127"/>
      <c r="AJ552" s="127"/>
      <c r="AK552" s="126"/>
      <c r="AL552" s="122"/>
      <c r="AM552" s="122"/>
      <c r="AN552" s="122"/>
      <c r="AO552" s="122"/>
      <c r="AP552" s="122"/>
      <c r="AQ552" s="124"/>
    </row>
    <row r="553" spans="1:43" ht="15.75" customHeight="1">
      <c r="A553" s="122"/>
      <c r="B553" s="122"/>
      <c r="C553" s="122"/>
      <c r="D553" s="122"/>
      <c r="E553" s="122"/>
      <c r="F553" s="122"/>
      <c r="G553" s="122"/>
      <c r="H553" s="122"/>
      <c r="I553" s="122"/>
      <c r="J553" s="122"/>
      <c r="K553" s="122"/>
      <c r="L553" s="122"/>
      <c r="M553" s="123"/>
      <c r="N553" s="123"/>
      <c r="O553" s="122"/>
      <c r="P553" s="124"/>
      <c r="Q553" s="122"/>
      <c r="R553" s="122"/>
      <c r="S553" s="122"/>
      <c r="T553" s="122"/>
      <c r="U553" s="122"/>
      <c r="V553" s="124"/>
      <c r="W553" s="125"/>
      <c r="X553" s="122"/>
      <c r="Y553" s="122"/>
      <c r="Z553" s="122"/>
      <c r="AA553" s="126"/>
      <c r="AB553" s="122"/>
      <c r="AC553" s="122"/>
      <c r="AD553" s="127"/>
      <c r="AE553" s="127"/>
      <c r="AF553" s="127"/>
      <c r="AG553" s="127"/>
      <c r="AH553" s="124"/>
      <c r="AI553" s="127"/>
      <c r="AJ553" s="127"/>
      <c r="AK553" s="126"/>
      <c r="AL553" s="122"/>
      <c r="AM553" s="122"/>
      <c r="AN553" s="122"/>
      <c r="AO553" s="122"/>
      <c r="AP553" s="122"/>
      <c r="AQ553" s="124"/>
    </row>
    <row r="554" spans="1:43" ht="15.75" customHeight="1">
      <c r="A554" s="122"/>
      <c r="B554" s="122"/>
      <c r="C554" s="122"/>
      <c r="D554" s="122"/>
      <c r="E554" s="122"/>
      <c r="F554" s="122"/>
      <c r="G554" s="122"/>
      <c r="H554" s="122"/>
      <c r="I554" s="122"/>
      <c r="J554" s="122"/>
      <c r="K554" s="122"/>
      <c r="L554" s="122"/>
      <c r="M554" s="123"/>
      <c r="N554" s="123"/>
      <c r="O554" s="122"/>
      <c r="P554" s="124"/>
      <c r="Q554" s="122"/>
      <c r="R554" s="122"/>
      <c r="S554" s="122"/>
      <c r="T554" s="122"/>
      <c r="U554" s="122"/>
      <c r="V554" s="124"/>
      <c r="W554" s="125"/>
      <c r="X554" s="122"/>
      <c r="Y554" s="122"/>
      <c r="Z554" s="122"/>
      <c r="AA554" s="126"/>
      <c r="AB554" s="122"/>
      <c r="AC554" s="122"/>
      <c r="AD554" s="127"/>
      <c r="AE554" s="127"/>
      <c r="AF554" s="127"/>
      <c r="AG554" s="127"/>
      <c r="AH554" s="124"/>
      <c r="AI554" s="127"/>
      <c r="AJ554" s="127"/>
      <c r="AK554" s="126"/>
      <c r="AL554" s="122"/>
      <c r="AM554" s="122"/>
      <c r="AN554" s="122"/>
      <c r="AO554" s="122"/>
      <c r="AP554" s="122"/>
      <c r="AQ554" s="124"/>
    </row>
    <row r="555" spans="1:43" ht="15.75" customHeight="1">
      <c r="A555" s="122"/>
      <c r="B555" s="122"/>
      <c r="C555" s="122"/>
      <c r="D555" s="122"/>
      <c r="E555" s="122"/>
      <c r="F555" s="122"/>
      <c r="G555" s="122"/>
      <c r="H555" s="122"/>
      <c r="I555" s="122"/>
      <c r="J555" s="122"/>
      <c r="K555" s="122"/>
      <c r="L555" s="122"/>
      <c r="M555" s="123"/>
      <c r="N555" s="123"/>
      <c r="O555" s="122"/>
      <c r="P555" s="124"/>
      <c r="Q555" s="122"/>
      <c r="R555" s="122"/>
      <c r="S555" s="122"/>
      <c r="T555" s="122"/>
      <c r="U555" s="122"/>
      <c r="V555" s="124"/>
      <c r="W555" s="125"/>
      <c r="X555" s="122"/>
      <c r="Y555" s="122"/>
      <c r="Z555" s="122"/>
      <c r="AA555" s="126"/>
      <c r="AB555" s="122"/>
      <c r="AC555" s="122"/>
      <c r="AD555" s="127"/>
      <c r="AE555" s="127"/>
      <c r="AF555" s="127"/>
      <c r="AG555" s="127"/>
      <c r="AH555" s="124"/>
      <c r="AI555" s="127"/>
      <c r="AJ555" s="127"/>
      <c r="AK555" s="126"/>
      <c r="AL555" s="122"/>
      <c r="AM555" s="122"/>
      <c r="AN555" s="122"/>
      <c r="AO555" s="122"/>
      <c r="AP555" s="122"/>
      <c r="AQ555" s="124"/>
    </row>
    <row r="556" spans="1:43" ht="15.75" customHeight="1">
      <c r="A556" s="122"/>
      <c r="B556" s="122"/>
      <c r="C556" s="122"/>
      <c r="D556" s="122"/>
      <c r="E556" s="122"/>
      <c r="F556" s="122"/>
      <c r="G556" s="122"/>
      <c r="H556" s="122"/>
      <c r="I556" s="122"/>
      <c r="J556" s="122"/>
      <c r="K556" s="122"/>
      <c r="L556" s="122"/>
      <c r="M556" s="123"/>
      <c r="N556" s="123"/>
      <c r="O556" s="122"/>
      <c r="P556" s="124"/>
      <c r="Q556" s="122"/>
      <c r="R556" s="122"/>
      <c r="S556" s="122"/>
      <c r="T556" s="122"/>
      <c r="U556" s="122"/>
      <c r="V556" s="124"/>
      <c r="W556" s="125"/>
      <c r="X556" s="122"/>
      <c r="Y556" s="122"/>
      <c r="Z556" s="122"/>
      <c r="AA556" s="126"/>
      <c r="AB556" s="122"/>
      <c r="AC556" s="122"/>
      <c r="AD556" s="127"/>
      <c r="AE556" s="127"/>
      <c r="AF556" s="127"/>
      <c r="AG556" s="127"/>
      <c r="AH556" s="124"/>
      <c r="AI556" s="127"/>
      <c r="AJ556" s="127"/>
      <c r="AK556" s="126"/>
      <c r="AL556" s="122"/>
      <c r="AM556" s="122"/>
      <c r="AN556" s="122"/>
      <c r="AO556" s="122"/>
      <c r="AP556" s="122"/>
      <c r="AQ556" s="124"/>
    </row>
    <row r="557" spans="1:43" ht="15.75" customHeight="1">
      <c r="A557" s="122"/>
      <c r="B557" s="122"/>
      <c r="C557" s="122"/>
      <c r="D557" s="122"/>
      <c r="E557" s="122"/>
      <c r="F557" s="122"/>
      <c r="G557" s="122"/>
      <c r="H557" s="122"/>
      <c r="I557" s="122"/>
      <c r="J557" s="122"/>
      <c r="K557" s="122"/>
      <c r="L557" s="122"/>
      <c r="M557" s="123"/>
      <c r="N557" s="123"/>
      <c r="O557" s="122"/>
      <c r="P557" s="124"/>
      <c r="Q557" s="122"/>
      <c r="R557" s="122"/>
      <c r="S557" s="122"/>
      <c r="T557" s="122"/>
      <c r="U557" s="122"/>
      <c r="V557" s="124"/>
      <c r="W557" s="125"/>
      <c r="X557" s="122"/>
      <c r="Y557" s="122"/>
      <c r="Z557" s="122"/>
      <c r="AA557" s="126"/>
      <c r="AB557" s="122"/>
      <c r="AC557" s="122"/>
      <c r="AD557" s="127"/>
      <c r="AE557" s="127"/>
      <c r="AF557" s="127"/>
      <c r="AG557" s="127"/>
      <c r="AH557" s="124"/>
      <c r="AI557" s="127"/>
      <c r="AJ557" s="127"/>
      <c r="AK557" s="126"/>
      <c r="AL557" s="122"/>
      <c r="AM557" s="122"/>
      <c r="AN557" s="122"/>
      <c r="AO557" s="122"/>
      <c r="AP557" s="122"/>
      <c r="AQ557" s="124"/>
    </row>
    <row r="558" spans="1:43" ht="15.75" customHeight="1">
      <c r="A558" s="122"/>
      <c r="B558" s="122"/>
      <c r="C558" s="122"/>
      <c r="D558" s="122"/>
      <c r="E558" s="122"/>
      <c r="F558" s="122"/>
      <c r="G558" s="122"/>
      <c r="H558" s="122"/>
      <c r="I558" s="122"/>
      <c r="J558" s="122"/>
      <c r="K558" s="122"/>
      <c r="L558" s="122"/>
      <c r="M558" s="123"/>
      <c r="N558" s="123"/>
      <c r="O558" s="122"/>
      <c r="P558" s="124"/>
      <c r="Q558" s="122"/>
      <c r="R558" s="122"/>
      <c r="S558" s="122"/>
      <c r="T558" s="122"/>
      <c r="U558" s="122"/>
      <c r="V558" s="124"/>
      <c r="W558" s="125"/>
      <c r="X558" s="122"/>
      <c r="Y558" s="122"/>
      <c r="Z558" s="122"/>
      <c r="AA558" s="126"/>
      <c r="AB558" s="122"/>
      <c r="AC558" s="122"/>
      <c r="AD558" s="127"/>
      <c r="AE558" s="127"/>
      <c r="AF558" s="127"/>
      <c r="AG558" s="127"/>
      <c r="AH558" s="124"/>
      <c r="AI558" s="127"/>
      <c r="AJ558" s="127"/>
      <c r="AK558" s="126"/>
      <c r="AL558" s="122"/>
      <c r="AM558" s="122"/>
      <c r="AN558" s="122"/>
      <c r="AO558" s="122"/>
      <c r="AP558" s="122"/>
      <c r="AQ558" s="124"/>
    </row>
    <row r="559" spans="1:43" ht="15.75" customHeight="1">
      <c r="A559" s="122"/>
      <c r="B559" s="122"/>
      <c r="C559" s="122"/>
      <c r="D559" s="122"/>
      <c r="E559" s="122"/>
      <c r="F559" s="122"/>
      <c r="G559" s="122"/>
      <c r="H559" s="122"/>
      <c r="I559" s="122"/>
      <c r="J559" s="122"/>
      <c r="K559" s="122"/>
      <c r="L559" s="122"/>
      <c r="M559" s="123"/>
      <c r="N559" s="123"/>
      <c r="O559" s="122"/>
      <c r="P559" s="124"/>
      <c r="Q559" s="122"/>
      <c r="R559" s="122"/>
      <c r="S559" s="122"/>
      <c r="T559" s="122"/>
      <c r="U559" s="122"/>
      <c r="V559" s="124"/>
      <c r="W559" s="125"/>
      <c r="X559" s="122"/>
      <c r="Y559" s="122"/>
      <c r="Z559" s="122"/>
      <c r="AA559" s="126"/>
      <c r="AB559" s="122"/>
      <c r="AC559" s="122"/>
      <c r="AD559" s="127"/>
      <c r="AE559" s="127"/>
      <c r="AF559" s="127"/>
      <c r="AG559" s="127"/>
      <c r="AH559" s="124"/>
      <c r="AI559" s="127"/>
      <c r="AJ559" s="127"/>
      <c r="AK559" s="126"/>
      <c r="AL559" s="122"/>
      <c r="AM559" s="122"/>
      <c r="AN559" s="122"/>
      <c r="AO559" s="122"/>
      <c r="AP559" s="122"/>
      <c r="AQ559" s="124"/>
    </row>
    <row r="560" spans="1:43" ht="15.75" customHeight="1">
      <c r="A560" s="122"/>
      <c r="B560" s="122"/>
      <c r="C560" s="122"/>
      <c r="D560" s="122"/>
      <c r="E560" s="122"/>
      <c r="F560" s="122"/>
      <c r="G560" s="122"/>
      <c r="H560" s="122"/>
      <c r="I560" s="122"/>
      <c r="J560" s="122"/>
      <c r="K560" s="122"/>
      <c r="L560" s="122"/>
      <c r="M560" s="123"/>
      <c r="N560" s="123"/>
      <c r="O560" s="122"/>
      <c r="P560" s="124"/>
      <c r="Q560" s="122"/>
      <c r="R560" s="122"/>
      <c r="S560" s="122"/>
      <c r="T560" s="122"/>
      <c r="U560" s="122"/>
      <c r="V560" s="124"/>
      <c r="W560" s="125"/>
      <c r="X560" s="122"/>
      <c r="Y560" s="122"/>
      <c r="Z560" s="122"/>
      <c r="AA560" s="126"/>
      <c r="AB560" s="122"/>
      <c r="AC560" s="122"/>
      <c r="AD560" s="127"/>
      <c r="AE560" s="127"/>
      <c r="AF560" s="127"/>
      <c r="AG560" s="127"/>
      <c r="AH560" s="124"/>
      <c r="AI560" s="127"/>
      <c r="AJ560" s="127"/>
      <c r="AK560" s="126"/>
      <c r="AL560" s="122"/>
      <c r="AM560" s="122"/>
      <c r="AN560" s="122"/>
      <c r="AO560" s="122"/>
      <c r="AP560" s="122"/>
      <c r="AQ560" s="124"/>
    </row>
    <row r="561" spans="1:43" ht="15.75" customHeight="1">
      <c r="A561" s="122"/>
      <c r="B561" s="122"/>
      <c r="C561" s="122"/>
      <c r="D561" s="122"/>
      <c r="E561" s="122"/>
      <c r="F561" s="122"/>
      <c r="G561" s="122"/>
      <c r="H561" s="122"/>
      <c r="I561" s="122"/>
      <c r="J561" s="122"/>
      <c r="K561" s="122"/>
      <c r="L561" s="122"/>
      <c r="M561" s="123"/>
      <c r="N561" s="123"/>
      <c r="O561" s="122"/>
      <c r="P561" s="124"/>
      <c r="Q561" s="122"/>
      <c r="R561" s="122"/>
      <c r="S561" s="122"/>
      <c r="T561" s="122"/>
      <c r="U561" s="122"/>
      <c r="V561" s="124"/>
      <c r="W561" s="125"/>
      <c r="X561" s="122"/>
      <c r="Y561" s="122"/>
      <c r="Z561" s="122"/>
      <c r="AA561" s="126"/>
      <c r="AB561" s="122"/>
      <c r="AC561" s="122"/>
      <c r="AD561" s="127"/>
      <c r="AE561" s="127"/>
      <c r="AF561" s="127"/>
      <c r="AG561" s="127"/>
      <c r="AH561" s="124"/>
      <c r="AI561" s="127"/>
      <c r="AJ561" s="127"/>
      <c r="AK561" s="126"/>
      <c r="AL561" s="122"/>
      <c r="AM561" s="122"/>
      <c r="AN561" s="122"/>
      <c r="AO561" s="122"/>
      <c r="AP561" s="122"/>
      <c r="AQ561" s="124"/>
    </row>
    <row r="562" spans="1:43" ht="15.75" customHeight="1">
      <c r="A562" s="122"/>
      <c r="B562" s="122"/>
      <c r="C562" s="122"/>
      <c r="D562" s="122"/>
      <c r="E562" s="122"/>
      <c r="F562" s="122"/>
      <c r="G562" s="122"/>
      <c r="H562" s="122"/>
      <c r="I562" s="122"/>
      <c r="J562" s="122"/>
      <c r="K562" s="122"/>
      <c r="L562" s="122"/>
      <c r="M562" s="123"/>
      <c r="N562" s="123"/>
      <c r="O562" s="122"/>
      <c r="P562" s="124"/>
      <c r="Q562" s="122"/>
      <c r="R562" s="122"/>
      <c r="S562" s="122"/>
      <c r="T562" s="122"/>
      <c r="U562" s="122"/>
      <c r="V562" s="124"/>
      <c r="W562" s="125"/>
      <c r="X562" s="122"/>
      <c r="Y562" s="122"/>
      <c r="Z562" s="122"/>
      <c r="AA562" s="126"/>
      <c r="AB562" s="122"/>
      <c r="AC562" s="122"/>
      <c r="AD562" s="127"/>
      <c r="AE562" s="127"/>
      <c r="AF562" s="127"/>
      <c r="AG562" s="127"/>
      <c r="AH562" s="124"/>
      <c r="AI562" s="127"/>
      <c r="AJ562" s="127"/>
      <c r="AK562" s="126"/>
      <c r="AL562" s="122"/>
      <c r="AM562" s="122"/>
      <c r="AN562" s="122"/>
      <c r="AO562" s="122"/>
      <c r="AP562" s="122"/>
      <c r="AQ562" s="124"/>
    </row>
    <row r="563" spans="1:43" ht="15.75" customHeight="1">
      <c r="A563" s="122"/>
      <c r="B563" s="122"/>
      <c r="C563" s="122"/>
      <c r="D563" s="122"/>
      <c r="E563" s="122"/>
      <c r="F563" s="122"/>
      <c r="G563" s="122"/>
      <c r="H563" s="122"/>
      <c r="I563" s="122"/>
      <c r="J563" s="122"/>
      <c r="K563" s="122"/>
      <c r="L563" s="122"/>
      <c r="M563" s="123"/>
      <c r="N563" s="123"/>
      <c r="O563" s="122"/>
      <c r="P563" s="124"/>
      <c r="Q563" s="122"/>
      <c r="R563" s="122"/>
      <c r="S563" s="122"/>
      <c r="T563" s="122"/>
      <c r="U563" s="122"/>
      <c r="V563" s="124"/>
      <c r="W563" s="125"/>
      <c r="X563" s="122"/>
      <c r="Y563" s="122"/>
      <c r="Z563" s="122"/>
      <c r="AA563" s="126"/>
      <c r="AB563" s="122"/>
      <c r="AC563" s="122"/>
      <c r="AD563" s="127"/>
      <c r="AE563" s="127"/>
      <c r="AF563" s="127"/>
      <c r="AG563" s="127"/>
      <c r="AH563" s="124"/>
      <c r="AI563" s="127"/>
      <c r="AJ563" s="127"/>
      <c r="AK563" s="126"/>
      <c r="AL563" s="122"/>
      <c r="AM563" s="122"/>
      <c r="AN563" s="122"/>
      <c r="AO563" s="122"/>
      <c r="AP563" s="122"/>
      <c r="AQ563" s="124"/>
    </row>
    <row r="564" spans="1:43" ht="15.75" customHeight="1">
      <c r="A564" s="122"/>
      <c r="B564" s="122"/>
      <c r="C564" s="122"/>
      <c r="D564" s="122"/>
      <c r="E564" s="122"/>
      <c r="F564" s="122"/>
      <c r="G564" s="122"/>
      <c r="H564" s="122"/>
      <c r="I564" s="122"/>
      <c r="J564" s="122"/>
      <c r="K564" s="122"/>
      <c r="L564" s="122"/>
      <c r="M564" s="123"/>
      <c r="N564" s="123"/>
      <c r="O564" s="122"/>
      <c r="P564" s="124"/>
      <c r="Q564" s="122"/>
      <c r="R564" s="122"/>
      <c r="S564" s="122"/>
      <c r="T564" s="122"/>
      <c r="U564" s="122"/>
      <c r="V564" s="124"/>
      <c r="W564" s="125"/>
      <c r="X564" s="122"/>
      <c r="Y564" s="122"/>
      <c r="Z564" s="122"/>
      <c r="AA564" s="126"/>
      <c r="AB564" s="122"/>
      <c r="AC564" s="122"/>
      <c r="AD564" s="127"/>
      <c r="AE564" s="127"/>
      <c r="AF564" s="127"/>
      <c r="AG564" s="127"/>
      <c r="AH564" s="124"/>
      <c r="AI564" s="127"/>
      <c r="AJ564" s="127"/>
      <c r="AK564" s="126"/>
      <c r="AL564" s="122"/>
      <c r="AM564" s="122"/>
      <c r="AN564" s="122"/>
      <c r="AO564" s="122"/>
      <c r="AP564" s="122"/>
      <c r="AQ564" s="124"/>
    </row>
    <row r="565" spans="1:43" ht="15.75" customHeight="1">
      <c r="A565" s="122"/>
      <c r="B565" s="122"/>
      <c r="C565" s="122"/>
      <c r="D565" s="122"/>
      <c r="E565" s="122"/>
      <c r="F565" s="122"/>
      <c r="G565" s="122"/>
      <c r="H565" s="122"/>
      <c r="I565" s="122"/>
      <c r="J565" s="122"/>
      <c r="K565" s="122"/>
      <c r="L565" s="122"/>
      <c r="M565" s="123"/>
      <c r="N565" s="123"/>
      <c r="O565" s="122"/>
      <c r="P565" s="124"/>
      <c r="Q565" s="122"/>
      <c r="R565" s="122"/>
      <c r="S565" s="122"/>
      <c r="T565" s="122"/>
      <c r="U565" s="122"/>
      <c r="V565" s="124"/>
      <c r="W565" s="125"/>
      <c r="X565" s="122"/>
      <c r="Y565" s="122"/>
      <c r="Z565" s="122"/>
      <c r="AA565" s="126"/>
      <c r="AB565" s="122"/>
      <c r="AC565" s="122"/>
      <c r="AD565" s="127"/>
      <c r="AE565" s="127"/>
      <c r="AF565" s="127"/>
      <c r="AG565" s="127"/>
      <c r="AH565" s="124"/>
      <c r="AI565" s="127"/>
      <c r="AJ565" s="127"/>
      <c r="AK565" s="126"/>
      <c r="AL565" s="122"/>
      <c r="AM565" s="122"/>
      <c r="AN565" s="122"/>
      <c r="AO565" s="122"/>
      <c r="AP565" s="122"/>
      <c r="AQ565" s="124"/>
    </row>
    <row r="566" spans="1:43" ht="15.75" customHeight="1">
      <c r="A566" s="122"/>
      <c r="B566" s="122"/>
      <c r="C566" s="122"/>
      <c r="D566" s="122"/>
      <c r="E566" s="122"/>
      <c r="F566" s="122"/>
      <c r="G566" s="122"/>
      <c r="H566" s="122"/>
      <c r="I566" s="122"/>
      <c r="J566" s="122"/>
      <c r="K566" s="122"/>
      <c r="L566" s="122"/>
      <c r="M566" s="123"/>
      <c r="N566" s="123"/>
      <c r="O566" s="122"/>
      <c r="P566" s="124"/>
      <c r="Q566" s="122"/>
      <c r="R566" s="122"/>
      <c r="S566" s="122"/>
      <c r="T566" s="122"/>
      <c r="U566" s="122"/>
      <c r="V566" s="124"/>
      <c r="W566" s="125"/>
      <c r="X566" s="122"/>
      <c r="Y566" s="122"/>
      <c r="Z566" s="122"/>
      <c r="AA566" s="126"/>
      <c r="AB566" s="122"/>
      <c r="AC566" s="122"/>
      <c r="AD566" s="127"/>
      <c r="AE566" s="127"/>
      <c r="AF566" s="127"/>
      <c r="AG566" s="127"/>
      <c r="AH566" s="124"/>
      <c r="AI566" s="127"/>
      <c r="AJ566" s="127"/>
      <c r="AK566" s="126"/>
      <c r="AL566" s="122"/>
      <c r="AM566" s="122"/>
      <c r="AN566" s="122"/>
      <c r="AO566" s="122"/>
      <c r="AP566" s="122"/>
      <c r="AQ566" s="124"/>
    </row>
    <row r="567" spans="1:43" ht="15.75" customHeight="1">
      <c r="A567" s="122"/>
      <c r="B567" s="122"/>
      <c r="C567" s="122"/>
      <c r="D567" s="122"/>
      <c r="E567" s="122"/>
      <c r="F567" s="122"/>
      <c r="G567" s="122"/>
      <c r="H567" s="122"/>
      <c r="I567" s="122"/>
      <c r="J567" s="122"/>
      <c r="K567" s="122"/>
      <c r="L567" s="122"/>
      <c r="M567" s="123"/>
      <c r="N567" s="123"/>
      <c r="O567" s="122"/>
      <c r="P567" s="124"/>
      <c r="Q567" s="122"/>
      <c r="R567" s="122"/>
      <c r="S567" s="122"/>
      <c r="T567" s="122"/>
      <c r="U567" s="122"/>
      <c r="V567" s="124"/>
      <c r="W567" s="125"/>
      <c r="X567" s="122"/>
      <c r="Y567" s="122"/>
      <c r="Z567" s="122"/>
      <c r="AA567" s="126"/>
      <c r="AB567" s="122"/>
      <c r="AC567" s="122"/>
      <c r="AD567" s="127"/>
      <c r="AE567" s="127"/>
      <c r="AF567" s="127"/>
      <c r="AG567" s="127"/>
      <c r="AH567" s="124"/>
      <c r="AI567" s="127"/>
      <c r="AJ567" s="127"/>
      <c r="AK567" s="126"/>
      <c r="AL567" s="122"/>
      <c r="AM567" s="122"/>
      <c r="AN567" s="122"/>
      <c r="AO567" s="122"/>
      <c r="AP567" s="122"/>
      <c r="AQ567" s="124"/>
    </row>
    <row r="568" spans="1:43" ht="15.75" customHeight="1">
      <c r="A568" s="122"/>
      <c r="B568" s="122"/>
      <c r="C568" s="122"/>
      <c r="D568" s="122"/>
      <c r="E568" s="122"/>
      <c r="F568" s="122"/>
      <c r="G568" s="122"/>
      <c r="H568" s="122"/>
      <c r="I568" s="122"/>
      <c r="J568" s="122"/>
      <c r="K568" s="122"/>
      <c r="L568" s="122"/>
      <c r="M568" s="123"/>
      <c r="N568" s="123"/>
      <c r="O568" s="122"/>
      <c r="P568" s="124"/>
      <c r="Q568" s="122"/>
      <c r="R568" s="122"/>
      <c r="S568" s="122"/>
      <c r="T568" s="122"/>
      <c r="U568" s="122"/>
      <c r="V568" s="124"/>
      <c r="W568" s="125"/>
      <c r="X568" s="122"/>
      <c r="Y568" s="122"/>
      <c r="Z568" s="122"/>
      <c r="AA568" s="126"/>
      <c r="AB568" s="122"/>
      <c r="AC568" s="122"/>
      <c r="AD568" s="127"/>
      <c r="AE568" s="127"/>
      <c r="AF568" s="127"/>
      <c r="AG568" s="127"/>
      <c r="AH568" s="124"/>
      <c r="AI568" s="127"/>
      <c r="AJ568" s="127"/>
      <c r="AK568" s="126"/>
      <c r="AL568" s="122"/>
      <c r="AM568" s="122"/>
      <c r="AN568" s="122"/>
      <c r="AO568" s="122"/>
      <c r="AP568" s="122"/>
      <c r="AQ568" s="124"/>
    </row>
    <row r="569" spans="1:43" ht="15.75" customHeight="1">
      <c r="A569" s="122"/>
      <c r="B569" s="122"/>
      <c r="C569" s="122"/>
      <c r="D569" s="122"/>
      <c r="E569" s="122"/>
      <c r="F569" s="122"/>
      <c r="G569" s="122"/>
      <c r="H569" s="122"/>
      <c r="I569" s="122"/>
      <c r="J569" s="122"/>
      <c r="K569" s="122"/>
      <c r="L569" s="122"/>
      <c r="M569" s="123"/>
      <c r="N569" s="123"/>
      <c r="O569" s="122"/>
      <c r="P569" s="124"/>
      <c r="Q569" s="122"/>
      <c r="R569" s="122"/>
      <c r="S569" s="122"/>
      <c r="T569" s="122"/>
      <c r="U569" s="122"/>
      <c r="V569" s="124"/>
      <c r="W569" s="125"/>
      <c r="X569" s="122"/>
      <c r="Y569" s="122"/>
      <c r="Z569" s="122"/>
      <c r="AA569" s="126"/>
      <c r="AB569" s="122"/>
      <c r="AC569" s="122"/>
      <c r="AD569" s="127"/>
      <c r="AE569" s="127"/>
      <c r="AF569" s="127"/>
      <c r="AG569" s="127"/>
      <c r="AH569" s="124"/>
      <c r="AI569" s="127"/>
      <c r="AJ569" s="127"/>
      <c r="AK569" s="126"/>
      <c r="AL569" s="122"/>
      <c r="AM569" s="122"/>
      <c r="AN569" s="122"/>
      <c r="AO569" s="122"/>
      <c r="AP569" s="122"/>
      <c r="AQ569" s="124"/>
    </row>
    <row r="570" spans="1:43" ht="15.75" customHeight="1">
      <c r="A570" s="122"/>
      <c r="B570" s="122"/>
      <c r="C570" s="122"/>
      <c r="D570" s="122"/>
      <c r="E570" s="122"/>
      <c r="F570" s="122"/>
      <c r="G570" s="122"/>
      <c r="H570" s="122"/>
      <c r="I570" s="122"/>
      <c r="J570" s="122"/>
      <c r="K570" s="122"/>
      <c r="L570" s="122"/>
      <c r="M570" s="123"/>
      <c r="N570" s="123"/>
      <c r="O570" s="122"/>
      <c r="P570" s="124"/>
      <c r="Q570" s="122"/>
      <c r="R570" s="122"/>
      <c r="S570" s="122"/>
      <c r="T570" s="122"/>
      <c r="U570" s="122"/>
      <c r="V570" s="124"/>
      <c r="W570" s="125"/>
      <c r="X570" s="122"/>
      <c r="Y570" s="122"/>
      <c r="Z570" s="122"/>
      <c r="AA570" s="126"/>
      <c r="AB570" s="122"/>
      <c r="AC570" s="122"/>
      <c r="AD570" s="127"/>
      <c r="AE570" s="127"/>
      <c r="AF570" s="127"/>
      <c r="AG570" s="127"/>
      <c r="AH570" s="124"/>
      <c r="AI570" s="127"/>
      <c r="AJ570" s="127"/>
      <c r="AK570" s="126"/>
      <c r="AL570" s="122"/>
      <c r="AM570" s="122"/>
      <c r="AN570" s="122"/>
      <c r="AO570" s="122"/>
      <c r="AP570" s="122"/>
      <c r="AQ570" s="124"/>
    </row>
    <row r="571" spans="1:43" ht="15.75" customHeight="1">
      <c r="A571" s="122"/>
      <c r="B571" s="122"/>
      <c r="C571" s="122"/>
      <c r="D571" s="122"/>
      <c r="E571" s="122"/>
      <c r="F571" s="122"/>
      <c r="G571" s="122"/>
      <c r="H571" s="122"/>
      <c r="I571" s="122"/>
      <c r="J571" s="122"/>
      <c r="K571" s="122"/>
      <c r="L571" s="122"/>
      <c r="M571" s="123"/>
      <c r="N571" s="123"/>
      <c r="O571" s="122"/>
      <c r="P571" s="124"/>
      <c r="Q571" s="122"/>
      <c r="R571" s="122"/>
      <c r="S571" s="122"/>
      <c r="T571" s="122"/>
      <c r="U571" s="122"/>
      <c r="V571" s="124"/>
      <c r="W571" s="125"/>
      <c r="X571" s="122"/>
      <c r="Y571" s="122"/>
      <c r="Z571" s="122"/>
      <c r="AA571" s="126"/>
      <c r="AB571" s="122"/>
      <c r="AC571" s="122"/>
      <c r="AD571" s="127"/>
      <c r="AE571" s="127"/>
      <c r="AF571" s="127"/>
      <c r="AG571" s="127"/>
      <c r="AH571" s="124"/>
      <c r="AI571" s="127"/>
      <c r="AJ571" s="127"/>
      <c r="AK571" s="126"/>
      <c r="AL571" s="122"/>
      <c r="AM571" s="122"/>
      <c r="AN571" s="122"/>
      <c r="AO571" s="122"/>
      <c r="AP571" s="122"/>
      <c r="AQ571" s="124"/>
    </row>
    <row r="572" spans="1:43" ht="15.75" customHeight="1">
      <c r="A572" s="122"/>
      <c r="B572" s="122"/>
      <c r="C572" s="122"/>
      <c r="D572" s="122"/>
      <c r="E572" s="122"/>
      <c r="F572" s="122"/>
      <c r="G572" s="122"/>
      <c r="H572" s="122"/>
      <c r="I572" s="122"/>
      <c r="J572" s="122"/>
      <c r="K572" s="122"/>
      <c r="L572" s="122"/>
      <c r="M572" s="123"/>
      <c r="N572" s="123"/>
      <c r="O572" s="122"/>
      <c r="P572" s="124"/>
      <c r="Q572" s="122"/>
      <c r="R572" s="122"/>
      <c r="S572" s="122"/>
      <c r="T572" s="122"/>
      <c r="U572" s="122"/>
      <c r="V572" s="124"/>
      <c r="W572" s="125"/>
      <c r="X572" s="122"/>
      <c r="Y572" s="122"/>
      <c r="Z572" s="122"/>
      <c r="AA572" s="126"/>
      <c r="AB572" s="122"/>
      <c r="AC572" s="122"/>
      <c r="AD572" s="127"/>
      <c r="AE572" s="127"/>
      <c r="AF572" s="127"/>
      <c r="AG572" s="127"/>
      <c r="AH572" s="124"/>
      <c r="AI572" s="127"/>
      <c r="AJ572" s="127"/>
      <c r="AK572" s="126"/>
      <c r="AL572" s="122"/>
      <c r="AM572" s="122"/>
      <c r="AN572" s="122"/>
      <c r="AO572" s="122"/>
      <c r="AP572" s="122"/>
      <c r="AQ572" s="124"/>
    </row>
    <row r="573" spans="1:43" ht="15.75" customHeight="1">
      <c r="A573" s="122"/>
      <c r="B573" s="122"/>
      <c r="C573" s="122"/>
      <c r="D573" s="122"/>
      <c r="E573" s="122"/>
      <c r="F573" s="122"/>
      <c r="G573" s="122"/>
      <c r="H573" s="122"/>
      <c r="I573" s="122"/>
      <c r="J573" s="122"/>
      <c r="K573" s="122"/>
      <c r="L573" s="122"/>
      <c r="M573" s="123"/>
      <c r="N573" s="123"/>
      <c r="O573" s="122"/>
      <c r="P573" s="124"/>
      <c r="Q573" s="122"/>
      <c r="R573" s="122"/>
      <c r="S573" s="122"/>
      <c r="T573" s="122"/>
      <c r="U573" s="122"/>
      <c r="V573" s="124"/>
      <c r="W573" s="125"/>
      <c r="X573" s="122"/>
      <c r="Y573" s="122"/>
      <c r="Z573" s="122"/>
      <c r="AA573" s="126"/>
      <c r="AB573" s="122"/>
      <c r="AC573" s="122"/>
      <c r="AD573" s="127"/>
      <c r="AE573" s="127"/>
      <c r="AF573" s="127"/>
      <c r="AG573" s="127"/>
      <c r="AH573" s="124"/>
      <c r="AI573" s="127"/>
      <c r="AJ573" s="127"/>
      <c r="AK573" s="126"/>
      <c r="AL573" s="122"/>
      <c r="AM573" s="122"/>
      <c r="AN573" s="122"/>
      <c r="AO573" s="122"/>
      <c r="AP573" s="122"/>
      <c r="AQ573" s="124"/>
    </row>
    <row r="574" spans="1:43" ht="15.75" customHeight="1">
      <c r="A574" s="122"/>
      <c r="B574" s="122"/>
      <c r="C574" s="122"/>
      <c r="D574" s="122"/>
      <c r="E574" s="122"/>
      <c r="F574" s="122"/>
      <c r="G574" s="122"/>
      <c r="H574" s="122"/>
      <c r="I574" s="122"/>
      <c r="J574" s="122"/>
      <c r="K574" s="122"/>
      <c r="L574" s="122"/>
      <c r="M574" s="123"/>
      <c r="N574" s="123"/>
      <c r="O574" s="122"/>
      <c r="P574" s="124"/>
      <c r="Q574" s="122"/>
      <c r="R574" s="122"/>
      <c r="S574" s="122"/>
      <c r="T574" s="122"/>
      <c r="U574" s="122"/>
      <c r="V574" s="124"/>
      <c r="W574" s="125"/>
      <c r="X574" s="122"/>
      <c r="Y574" s="122"/>
      <c r="Z574" s="122"/>
      <c r="AA574" s="126"/>
      <c r="AB574" s="122"/>
      <c r="AC574" s="122"/>
      <c r="AD574" s="127"/>
      <c r="AE574" s="127"/>
      <c r="AF574" s="127"/>
      <c r="AG574" s="127"/>
      <c r="AH574" s="124"/>
      <c r="AI574" s="127"/>
      <c r="AJ574" s="127"/>
      <c r="AK574" s="126"/>
      <c r="AL574" s="122"/>
      <c r="AM574" s="122"/>
      <c r="AN574" s="122"/>
      <c r="AO574" s="122"/>
      <c r="AP574" s="122"/>
      <c r="AQ574" s="124"/>
    </row>
    <row r="575" spans="1:43" ht="15.75" customHeight="1">
      <c r="A575" s="122"/>
      <c r="B575" s="122"/>
      <c r="C575" s="122"/>
      <c r="D575" s="122"/>
      <c r="E575" s="122"/>
      <c r="F575" s="122"/>
      <c r="G575" s="122"/>
      <c r="H575" s="122"/>
      <c r="I575" s="122"/>
      <c r="J575" s="122"/>
      <c r="K575" s="122"/>
      <c r="L575" s="122"/>
      <c r="M575" s="123"/>
      <c r="N575" s="123"/>
      <c r="O575" s="122"/>
      <c r="P575" s="124"/>
      <c r="Q575" s="122"/>
      <c r="R575" s="122"/>
      <c r="S575" s="122"/>
      <c r="T575" s="122"/>
      <c r="U575" s="122"/>
      <c r="V575" s="124"/>
      <c r="W575" s="125"/>
      <c r="X575" s="122"/>
      <c r="Y575" s="122"/>
      <c r="Z575" s="122"/>
      <c r="AA575" s="126"/>
      <c r="AB575" s="122"/>
      <c r="AC575" s="122"/>
      <c r="AD575" s="127"/>
      <c r="AE575" s="127"/>
      <c r="AF575" s="127"/>
      <c r="AG575" s="127"/>
      <c r="AH575" s="124"/>
      <c r="AI575" s="127"/>
      <c r="AJ575" s="127"/>
      <c r="AK575" s="126"/>
      <c r="AL575" s="122"/>
      <c r="AM575" s="122"/>
      <c r="AN575" s="122"/>
      <c r="AO575" s="122"/>
      <c r="AP575" s="122"/>
      <c r="AQ575" s="124"/>
    </row>
    <row r="576" spans="1:43" ht="15.75" customHeight="1">
      <c r="A576" s="122"/>
      <c r="B576" s="122"/>
      <c r="C576" s="122"/>
      <c r="D576" s="122"/>
      <c r="E576" s="122"/>
      <c r="F576" s="122"/>
      <c r="G576" s="122"/>
      <c r="H576" s="122"/>
      <c r="I576" s="122"/>
      <c r="J576" s="122"/>
      <c r="K576" s="122"/>
      <c r="L576" s="122"/>
      <c r="M576" s="123"/>
      <c r="N576" s="123"/>
      <c r="O576" s="122"/>
      <c r="P576" s="124"/>
      <c r="Q576" s="122"/>
      <c r="R576" s="122"/>
      <c r="S576" s="122"/>
      <c r="T576" s="122"/>
      <c r="U576" s="122"/>
      <c r="V576" s="124"/>
      <c r="W576" s="125"/>
      <c r="X576" s="122"/>
      <c r="Y576" s="122"/>
      <c r="Z576" s="122"/>
      <c r="AA576" s="126"/>
      <c r="AB576" s="122"/>
      <c r="AC576" s="122"/>
      <c r="AD576" s="127"/>
      <c r="AE576" s="127"/>
      <c r="AF576" s="127"/>
      <c r="AG576" s="127"/>
      <c r="AH576" s="124"/>
      <c r="AI576" s="127"/>
      <c r="AJ576" s="127"/>
      <c r="AK576" s="126"/>
      <c r="AL576" s="122"/>
      <c r="AM576" s="122"/>
      <c r="AN576" s="122"/>
      <c r="AO576" s="122"/>
      <c r="AP576" s="122"/>
      <c r="AQ576" s="124"/>
    </row>
    <row r="577" spans="1:43" ht="15.75" customHeight="1">
      <c r="A577" s="122"/>
      <c r="B577" s="122"/>
      <c r="C577" s="122"/>
      <c r="D577" s="122"/>
      <c r="E577" s="122"/>
      <c r="F577" s="122"/>
      <c r="G577" s="122"/>
      <c r="H577" s="122"/>
      <c r="I577" s="122"/>
      <c r="J577" s="122"/>
      <c r="K577" s="122"/>
      <c r="L577" s="122"/>
      <c r="M577" s="123"/>
      <c r="N577" s="123"/>
      <c r="O577" s="122"/>
      <c r="P577" s="124"/>
      <c r="Q577" s="122"/>
      <c r="R577" s="122"/>
      <c r="S577" s="122"/>
      <c r="T577" s="122"/>
      <c r="U577" s="122"/>
      <c r="V577" s="124"/>
      <c r="W577" s="125"/>
      <c r="X577" s="122"/>
      <c r="Y577" s="122"/>
      <c r="Z577" s="122"/>
      <c r="AA577" s="126"/>
      <c r="AB577" s="122"/>
      <c r="AC577" s="122"/>
      <c r="AD577" s="127"/>
      <c r="AE577" s="127"/>
      <c r="AF577" s="127"/>
      <c r="AG577" s="127"/>
      <c r="AH577" s="124"/>
      <c r="AI577" s="127"/>
      <c r="AJ577" s="127"/>
      <c r="AK577" s="126"/>
      <c r="AL577" s="122"/>
      <c r="AM577" s="122"/>
      <c r="AN577" s="122"/>
      <c r="AO577" s="122"/>
      <c r="AP577" s="122"/>
      <c r="AQ577" s="124"/>
    </row>
    <row r="578" spans="1:43" ht="15.75" customHeight="1">
      <c r="A578" s="122"/>
      <c r="B578" s="122"/>
      <c r="C578" s="122"/>
      <c r="D578" s="122"/>
      <c r="E578" s="122"/>
      <c r="F578" s="122"/>
      <c r="G578" s="122"/>
      <c r="H578" s="122"/>
      <c r="I578" s="122"/>
      <c r="J578" s="122"/>
      <c r="K578" s="122"/>
      <c r="L578" s="122"/>
      <c r="M578" s="123"/>
      <c r="N578" s="123"/>
      <c r="O578" s="122"/>
      <c r="P578" s="124"/>
      <c r="Q578" s="122"/>
      <c r="R578" s="122"/>
      <c r="S578" s="122"/>
      <c r="T578" s="122"/>
      <c r="U578" s="122"/>
      <c r="V578" s="124"/>
      <c r="W578" s="125"/>
      <c r="X578" s="122"/>
      <c r="Y578" s="122"/>
      <c r="Z578" s="122"/>
      <c r="AA578" s="126"/>
      <c r="AB578" s="122"/>
      <c r="AC578" s="122"/>
      <c r="AD578" s="127"/>
      <c r="AE578" s="127"/>
      <c r="AF578" s="127"/>
      <c r="AG578" s="127"/>
      <c r="AH578" s="124"/>
      <c r="AI578" s="127"/>
      <c r="AJ578" s="127"/>
      <c r="AK578" s="126"/>
      <c r="AL578" s="122"/>
      <c r="AM578" s="122"/>
      <c r="AN578" s="122"/>
      <c r="AO578" s="122"/>
      <c r="AP578" s="122"/>
      <c r="AQ578" s="124"/>
    </row>
    <row r="579" spans="1:43" ht="15.75" customHeight="1">
      <c r="A579" s="122"/>
      <c r="B579" s="122"/>
      <c r="C579" s="122"/>
      <c r="D579" s="122"/>
      <c r="E579" s="122"/>
      <c r="F579" s="122"/>
      <c r="G579" s="122"/>
      <c r="H579" s="122"/>
      <c r="I579" s="122"/>
      <c r="J579" s="122"/>
      <c r="K579" s="122"/>
      <c r="L579" s="122"/>
      <c r="M579" s="123"/>
      <c r="N579" s="123"/>
      <c r="O579" s="122"/>
      <c r="P579" s="124"/>
      <c r="Q579" s="122"/>
      <c r="R579" s="122"/>
      <c r="S579" s="122"/>
      <c r="T579" s="122"/>
      <c r="U579" s="122"/>
      <c r="V579" s="124"/>
      <c r="W579" s="125"/>
      <c r="X579" s="122"/>
      <c r="Y579" s="122"/>
      <c r="Z579" s="122"/>
      <c r="AA579" s="126"/>
      <c r="AB579" s="122"/>
      <c r="AC579" s="122"/>
      <c r="AD579" s="127"/>
      <c r="AE579" s="127"/>
      <c r="AF579" s="127"/>
      <c r="AG579" s="127"/>
      <c r="AH579" s="124"/>
      <c r="AI579" s="127"/>
      <c r="AJ579" s="127"/>
      <c r="AK579" s="126"/>
      <c r="AL579" s="122"/>
      <c r="AM579" s="122"/>
      <c r="AN579" s="122"/>
      <c r="AO579" s="122"/>
      <c r="AP579" s="122"/>
      <c r="AQ579" s="124"/>
    </row>
    <row r="580" spans="1:43" ht="15.75" customHeight="1">
      <c r="A580" s="122"/>
      <c r="B580" s="122"/>
      <c r="C580" s="122"/>
      <c r="D580" s="122"/>
      <c r="E580" s="122"/>
      <c r="F580" s="122"/>
      <c r="G580" s="122"/>
      <c r="H580" s="122"/>
      <c r="I580" s="122"/>
      <c r="J580" s="122"/>
      <c r="K580" s="122"/>
      <c r="L580" s="122"/>
      <c r="M580" s="123"/>
      <c r="N580" s="123"/>
      <c r="O580" s="122"/>
      <c r="P580" s="124"/>
      <c r="Q580" s="122"/>
      <c r="R580" s="122"/>
      <c r="S580" s="122"/>
      <c r="T580" s="122"/>
      <c r="U580" s="122"/>
      <c r="V580" s="124"/>
      <c r="W580" s="125"/>
      <c r="X580" s="122"/>
      <c r="Y580" s="122"/>
      <c r="Z580" s="122"/>
      <c r="AA580" s="126"/>
      <c r="AB580" s="122"/>
      <c r="AC580" s="122"/>
      <c r="AD580" s="127"/>
      <c r="AE580" s="127"/>
      <c r="AF580" s="127"/>
      <c r="AG580" s="127"/>
      <c r="AH580" s="124"/>
      <c r="AI580" s="127"/>
      <c r="AJ580" s="127"/>
      <c r="AK580" s="126"/>
      <c r="AL580" s="122"/>
      <c r="AM580" s="122"/>
      <c r="AN580" s="122"/>
      <c r="AO580" s="122"/>
      <c r="AP580" s="122"/>
      <c r="AQ580" s="124"/>
    </row>
    <row r="581" spans="1:43" ht="15.75" customHeight="1">
      <c r="A581" s="122"/>
      <c r="B581" s="122"/>
      <c r="C581" s="122"/>
      <c r="D581" s="122"/>
      <c r="E581" s="122"/>
      <c r="F581" s="122"/>
      <c r="G581" s="122"/>
      <c r="H581" s="122"/>
      <c r="I581" s="122"/>
      <c r="J581" s="122"/>
      <c r="K581" s="122"/>
      <c r="L581" s="122"/>
      <c r="M581" s="123"/>
      <c r="N581" s="123"/>
      <c r="O581" s="122"/>
      <c r="P581" s="124"/>
      <c r="Q581" s="122"/>
      <c r="R581" s="122"/>
      <c r="S581" s="122"/>
      <c r="T581" s="122"/>
      <c r="U581" s="122"/>
      <c r="V581" s="124"/>
      <c r="W581" s="125"/>
      <c r="X581" s="122"/>
      <c r="Y581" s="122"/>
      <c r="Z581" s="122"/>
      <c r="AA581" s="126"/>
      <c r="AB581" s="122"/>
      <c r="AC581" s="122"/>
      <c r="AD581" s="127"/>
      <c r="AE581" s="127"/>
      <c r="AF581" s="127"/>
      <c r="AG581" s="127"/>
      <c r="AH581" s="124"/>
      <c r="AI581" s="127"/>
      <c r="AJ581" s="127"/>
      <c r="AK581" s="126"/>
      <c r="AL581" s="122"/>
      <c r="AM581" s="122"/>
      <c r="AN581" s="122"/>
      <c r="AO581" s="122"/>
      <c r="AP581" s="122"/>
      <c r="AQ581" s="124"/>
    </row>
    <row r="582" spans="1:43" ht="15.75" customHeight="1">
      <c r="A582" s="122"/>
      <c r="B582" s="122"/>
      <c r="C582" s="122"/>
      <c r="D582" s="122"/>
      <c r="E582" s="122"/>
      <c r="F582" s="122"/>
      <c r="G582" s="122"/>
      <c r="H582" s="122"/>
      <c r="I582" s="122"/>
      <c r="J582" s="122"/>
      <c r="K582" s="122"/>
      <c r="L582" s="122"/>
      <c r="M582" s="123"/>
      <c r="N582" s="123"/>
      <c r="O582" s="122"/>
      <c r="P582" s="124"/>
      <c r="Q582" s="122"/>
      <c r="R582" s="122"/>
      <c r="S582" s="122"/>
      <c r="T582" s="122"/>
      <c r="U582" s="122"/>
      <c r="V582" s="124"/>
      <c r="W582" s="125"/>
      <c r="X582" s="122"/>
      <c r="Y582" s="122"/>
      <c r="Z582" s="122"/>
      <c r="AA582" s="126"/>
      <c r="AB582" s="122"/>
      <c r="AC582" s="122"/>
      <c r="AD582" s="127"/>
      <c r="AE582" s="127"/>
      <c r="AF582" s="127"/>
      <c r="AG582" s="127"/>
      <c r="AH582" s="124"/>
      <c r="AI582" s="127"/>
      <c r="AJ582" s="127"/>
      <c r="AK582" s="126"/>
      <c r="AL582" s="122"/>
      <c r="AM582" s="122"/>
      <c r="AN582" s="122"/>
      <c r="AO582" s="122"/>
      <c r="AP582" s="122"/>
      <c r="AQ582" s="124"/>
    </row>
    <row r="583" spans="1:43" ht="15.75" customHeight="1">
      <c r="A583" s="122"/>
      <c r="B583" s="122"/>
      <c r="C583" s="122"/>
      <c r="D583" s="122"/>
      <c r="E583" s="122"/>
      <c r="F583" s="122"/>
      <c r="G583" s="122"/>
      <c r="H583" s="122"/>
      <c r="I583" s="122"/>
      <c r="J583" s="122"/>
      <c r="K583" s="122"/>
      <c r="L583" s="122"/>
      <c r="M583" s="123"/>
      <c r="N583" s="123"/>
      <c r="O583" s="122"/>
      <c r="P583" s="124"/>
      <c r="Q583" s="122"/>
      <c r="R583" s="122"/>
      <c r="S583" s="122"/>
      <c r="T583" s="122"/>
      <c r="U583" s="122"/>
      <c r="V583" s="124"/>
      <c r="W583" s="125"/>
      <c r="X583" s="122"/>
      <c r="Y583" s="122"/>
      <c r="Z583" s="122"/>
      <c r="AA583" s="126"/>
      <c r="AB583" s="122"/>
      <c r="AC583" s="122"/>
      <c r="AD583" s="127"/>
      <c r="AE583" s="127"/>
      <c r="AF583" s="127"/>
      <c r="AG583" s="127"/>
      <c r="AH583" s="124"/>
      <c r="AI583" s="127"/>
      <c r="AJ583" s="127"/>
      <c r="AK583" s="126"/>
      <c r="AL583" s="122"/>
      <c r="AM583" s="122"/>
      <c r="AN583" s="122"/>
      <c r="AO583" s="122"/>
      <c r="AP583" s="122"/>
      <c r="AQ583" s="124"/>
    </row>
    <row r="584" spans="1:43" ht="15.75" customHeight="1">
      <c r="A584" s="122"/>
      <c r="B584" s="122"/>
      <c r="C584" s="122"/>
      <c r="D584" s="122"/>
      <c r="E584" s="122"/>
      <c r="F584" s="122"/>
      <c r="G584" s="122"/>
      <c r="H584" s="122"/>
      <c r="I584" s="122"/>
      <c r="J584" s="122"/>
      <c r="K584" s="122"/>
      <c r="L584" s="122"/>
      <c r="M584" s="123"/>
      <c r="N584" s="123"/>
      <c r="O584" s="122"/>
      <c r="P584" s="124"/>
      <c r="Q584" s="122"/>
      <c r="R584" s="122"/>
      <c r="S584" s="122"/>
      <c r="T584" s="122"/>
      <c r="U584" s="122"/>
      <c r="V584" s="124"/>
      <c r="W584" s="125"/>
      <c r="X584" s="122"/>
      <c r="Y584" s="122"/>
      <c r="Z584" s="122"/>
      <c r="AA584" s="126"/>
      <c r="AB584" s="122"/>
      <c r="AC584" s="122"/>
      <c r="AD584" s="127"/>
      <c r="AE584" s="127"/>
      <c r="AF584" s="127"/>
      <c r="AG584" s="127"/>
      <c r="AH584" s="124"/>
      <c r="AI584" s="127"/>
      <c r="AJ584" s="127"/>
      <c r="AK584" s="126"/>
      <c r="AL584" s="122"/>
      <c r="AM584" s="122"/>
      <c r="AN584" s="122"/>
      <c r="AO584" s="122"/>
      <c r="AP584" s="122"/>
      <c r="AQ584" s="124"/>
    </row>
    <row r="585" spans="1:43" ht="15.75" customHeight="1">
      <c r="A585" s="122"/>
      <c r="B585" s="122"/>
      <c r="C585" s="122"/>
      <c r="D585" s="122"/>
      <c r="E585" s="122"/>
      <c r="F585" s="122"/>
      <c r="G585" s="122"/>
      <c r="H585" s="122"/>
      <c r="I585" s="122"/>
      <c r="J585" s="122"/>
      <c r="K585" s="122"/>
      <c r="L585" s="122"/>
      <c r="M585" s="123"/>
      <c r="N585" s="123"/>
      <c r="O585" s="122"/>
      <c r="P585" s="124"/>
      <c r="Q585" s="122"/>
      <c r="R585" s="122"/>
      <c r="S585" s="122"/>
      <c r="T585" s="122"/>
      <c r="U585" s="122"/>
      <c r="V585" s="124"/>
      <c r="W585" s="125"/>
      <c r="X585" s="122"/>
      <c r="Y585" s="122"/>
      <c r="Z585" s="122"/>
      <c r="AA585" s="126"/>
      <c r="AB585" s="122"/>
      <c r="AC585" s="122"/>
      <c r="AD585" s="127"/>
      <c r="AE585" s="127"/>
      <c r="AF585" s="127"/>
      <c r="AG585" s="127"/>
      <c r="AH585" s="124"/>
      <c r="AI585" s="127"/>
      <c r="AJ585" s="127"/>
      <c r="AK585" s="126"/>
      <c r="AL585" s="122"/>
      <c r="AM585" s="122"/>
      <c r="AN585" s="122"/>
      <c r="AO585" s="122"/>
      <c r="AP585" s="122"/>
      <c r="AQ585" s="124"/>
    </row>
    <row r="586" spans="1:43" ht="15.75" customHeight="1">
      <c r="A586" s="122"/>
      <c r="B586" s="122"/>
      <c r="C586" s="122"/>
      <c r="D586" s="122"/>
      <c r="E586" s="122"/>
      <c r="F586" s="122"/>
      <c r="G586" s="122"/>
      <c r="H586" s="122"/>
      <c r="I586" s="122"/>
      <c r="J586" s="122"/>
      <c r="K586" s="122"/>
      <c r="L586" s="122"/>
      <c r="M586" s="123"/>
      <c r="N586" s="123"/>
      <c r="O586" s="122"/>
      <c r="P586" s="124"/>
      <c r="Q586" s="122"/>
      <c r="R586" s="122"/>
      <c r="S586" s="122"/>
      <c r="T586" s="122"/>
      <c r="U586" s="122"/>
      <c r="V586" s="124"/>
      <c r="W586" s="125"/>
      <c r="X586" s="122"/>
      <c r="Y586" s="122"/>
      <c r="Z586" s="122"/>
      <c r="AA586" s="126"/>
      <c r="AB586" s="122"/>
      <c r="AC586" s="122"/>
      <c r="AD586" s="127"/>
      <c r="AE586" s="127"/>
      <c r="AF586" s="127"/>
      <c r="AG586" s="127"/>
      <c r="AH586" s="124"/>
      <c r="AI586" s="127"/>
      <c r="AJ586" s="127"/>
      <c r="AK586" s="126"/>
      <c r="AL586" s="122"/>
      <c r="AM586" s="122"/>
      <c r="AN586" s="122"/>
      <c r="AO586" s="122"/>
      <c r="AP586" s="122"/>
      <c r="AQ586" s="124"/>
    </row>
    <row r="587" spans="1:43" ht="15.75" customHeight="1">
      <c r="A587" s="122"/>
      <c r="B587" s="122"/>
      <c r="C587" s="122"/>
      <c r="D587" s="122"/>
      <c r="E587" s="122"/>
      <c r="F587" s="122"/>
      <c r="G587" s="122"/>
      <c r="H587" s="122"/>
      <c r="I587" s="122"/>
      <c r="J587" s="122"/>
      <c r="K587" s="122"/>
      <c r="L587" s="122"/>
      <c r="M587" s="123"/>
      <c r="N587" s="123"/>
      <c r="O587" s="122"/>
      <c r="P587" s="124"/>
      <c r="Q587" s="122"/>
      <c r="R587" s="122"/>
      <c r="S587" s="122"/>
      <c r="T587" s="122"/>
      <c r="U587" s="122"/>
      <c r="V587" s="124"/>
      <c r="W587" s="125"/>
      <c r="X587" s="122"/>
      <c r="Y587" s="122"/>
      <c r="Z587" s="122"/>
      <c r="AA587" s="126"/>
      <c r="AB587" s="122"/>
      <c r="AC587" s="122"/>
      <c r="AD587" s="127"/>
      <c r="AE587" s="127"/>
      <c r="AF587" s="127"/>
      <c r="AG587" s="127"/>
      <c r="AH587" s="124"/>
      <c r="AI587" s="127"/>
      <c r="AJ587" s="127"/>
      <c r="AK587" s="126"/>
      <c r="AL587" s="122"/>
      <c r="AM587" s="122"/>
      <c r="AN587" s="122"/>
      <c r="AO587" s="122"/>
      <c r="AP587" s="122"/>
      <c r="AQ587" s="124"/>
    </row>
    <row r="588" spans="1:43" ht="15.75" customHeight="1">
      <c r="A588" s="122"/>
      <c r="B588" s="122"/>
      <c r="C588" s="122"/>
      <c r="D588" s="122"/>
      <c r="E588" s="122"/>
      <c r="F588" s="122"/>
      <c r="G588" s="122"/>
      <c r="H588" s="122"/>
      <c r="I588" s="122"/>
      <c r="J588" s="122"/>
      <c r="K588" s="122"/>
      <c r="L588" s="122"/>
      <c r="M588" s="123"/>
      <c r="N588" s="123"/>
      <c r="O588" s="122"/>
      <c r="P588" s="124"/>
      <c r="Q588" s="122"/>
      <c r="R588" s="122"/>
      <c r="S588" s="122"/>
      <c r="T588" s="122"/>
      <c r="U588" s="122"/>
      <c r="V588" s="124"/>
      <c r="W588" s="125"/>
      <c r="X588" s="122"/>
      <c r="Y588" s="122"/>
      <c r="Z588" s="122"/>
      <c r="AA588" s="126"/>
      <c r="AB588" s="122"/>
      <c r="AC588" s="122"/>
      <c r="AD588" s="127"/>
      <c r="AE588" s="127"/>
      <c r="AF588" s="127"/>
      <c r="AG588" s="127"/>
      <c r="AH588" s="124"/>
      <c r="AI588" s="127"/>
      <c r="AJ588" s="127"/>
      <c r="AK588" s="126"/>
      <c r="AL588" s="122"/>
      <c r="AM588" s="122"/>
      <c r="AN588" s="122"/>
      <c r="AO588" s="122"/>
      <c r="AP588" s="122"/>
      <c r="AQ588" s="124"/>
    </row>
    <row r="589" spans="1:43" ht="15.75" customHeight="1">
      <c r="A589" s="122"/>
      <c r="B589" s="122"/>
      <c r="C589" s="122"/>
      <c r="D589" s="122"/>
      <c r="E589" s="122"/>
      <c r="F589" s="122"/>
      <c r="G589" s="122"/>
      <c r="H589" s="122"/>
      <c r="I589" s="122"/>
      <c r="J589" s="122"/>
      <c r="K589" s="122"/>
      <c r="L589" s="122"/>
      <c r="M589" s="123"/>
      <c r="N589" s="123"/>
      <c r="O589" s="122"/>
      <c r="P589" s="124"/>
      <c r="Q589" s="122"/>
      <c r="R589" s="122"/>
      <c r="S589" s="122"/>
      <c r="T589" s="122"/>
      <c r="U589" s="122"/>
      <c r="V589" s="124"/>
      <c r="W589" s="125"/>
      <c r="X589" s="122"/>
      <c r="Y589" s="122"/>
      <c r="Z589" s="122"/>
      <c r="AA589" s="126"/>
      <c r="AB589" s="122"/>
      <c r="AC589" s="122"/>
      <c r="AD589" s="127"/>
      <c r="AE589" s="127"/>
      <c r="AF589" s="127"/>
      <c r="AG589" s="127"/>
      <c r="AH589" s="124"/>
      <c r="AI589" s="127"/>
      <c r="AJ589" s="127"/>
      <c r="AK589" s="126"/>
      <c r="AL589" s="122"/>
      <c r="AM589" s="122"/>
      <c r="AN589" s="122"/>
      <c r="AO589" s="122"/>
      <c r="AP589" s="122"/>
      <c r="AQ589" s="124"/>
    </row>
    <row r="590" spans="1:43" ht="15.75" customHeight="1">
      <c r="A590" s="122"/>
      <c r="B590" s="122"/>
      <c r="C590" s="122"/>
      <c r="D590" s="122"/>
      <c r="E590" s="122"/>
      <c r="F590" s="122"/>
      <c r="G590" s="122"/>
      <c r="H590" s="122"/>
      <c r="I590" s="122"/>
      <c r="J590" s="122"/>
      <c r="K590" s="122"/>
      <c r="L590" s="122"/>
      <c r="M590" s="123"/>
      <c r="N590" s="123"/>
      <c r="O590" s="122"/>
      <c r="P590" s="124"/>
      <c r="Q590" s="122"/>
      <c r="R590" s="122"/>
      <c r="S590" s="122"/>
      <c r="T590" s="122"/>
      <c r="U590" s="122"/>
      <c r="V590" s="124"/>
      <c r="W590" s="125"/>
      <c r="X590" s="122"/>
      <c r="Y590" s="122"/>
      <c r="Z590" s="122"/>
      <c r="AA590" s="126"/>
      <c r="AB590" s="122"/>
      <c r="AC590" s="122"/>
      <c r="AD590" s="127"/>
      <c r="AE590" s="127"/>
      <c r="AF590" s="127"/>
      <c r="AG590" s="127"/>
      <c r="AH590" s="124"/>
      <c r="AI590" s="127"/>
      <c r="AJ590" s="127"/>
      <c r="AK590" s="126"/>
      <c r="AL590" s="122"/>
      <c r="AM590" s="122"/>
      <c r="AN590" s="122"/>
      <c r="AO590" s="122"/>
      <c r="AP590" s="122"/>
      <c r="AQ590" s="124"/>
    </row>
    <row r="591" spans="1:43" ht="15.75" customHeight="1">
      <c r="A591" s="122"/>
      <c r="B591" s="122"/>
      <c r="C591" s="122"/>
      <c r="D591" s="122"/>
      <c r="E591" s="122"/>
      <c r="F591" s="122"/>
      <c r="G591" s="122"/>
      <c r="H591" s="122"/>
      <c r="I591" s="122"/>
      <c r="J591" s="122"/>
      <c r="K591" s="122"/>
      <c r="L591" s="122"/>
      <c r="M591" s="123"/>
      <c r="N591" s="123"/>
      <c r="O591" s="122"/>
      <c r="P591" s="124"/>
      <c r="Q591" s="122"/>
      <c r="R591" s="122"/>
      <c r="S591" s="122"/>
      <c r="T591" s="122"/>
      <c r="U591" s="122"/>
      <c r="V591" s="124"/>
      <c r="W591" s="125"/>
      <c r="X591" s="122"/>
      <c r="Y591" s="122"/>
      <c r="Z591" s="122"/>
      <c r="AA591" s="126"/>
      <c r="AB591" s="122"/>
      <c r="AC591" s="122"/>
      <c r="AD591" s="127"/>
      <c r="AE591" s="127"/>
      <c r="AF591" s="127"/>
      <c r="AG591" s="127"/>
      <c r="AH591" s="124"/>
      <c r="AI591" s="127"/>
      <c r="AJ591" s="127"/>
      <c r="AK591" s="126"/>
      <c r="AL591" s="122"/>
      <c r="AM591" s="122"/>
      <c r="AN591" s="122"/>
      <c r="AO591" s="122"/>
      <c r="AP591" s="122"/>
      <c r="AQ591" s="124"/>
    </row>
    <row r="592" spans="1:43" ht="15.75" customHeight="1">
      <c r="A592" s="122"/>
      <c r="B592" s="122"/>
      <c r="C592" s="122"/>
      <c r="D592" s="122"/>
      <c r="E592" s="122"/>
      <c r="F592" s="122"/>
      <c r="G592" s="122"/>
      <c r="H592" s="122"/>
      <c r="I592" s="122"/>
      <c r="J592" s="122"/>
      <c r="K592" s="122"/>
      <c r="L592" s="122"/>
      <c r="M592" s="123"/>
      <c r="N592" s="123"/>
      <c r="O592" s="122"/>
      <c r="P592" s="124"/>
      <c r="Q592" s="122"/>
      <c r="R592" s="122"/>
      <c r="S592" s="122"/>
      <c r="T592" s="122"/>
      <c r="U592" s="122"/>
      <c r="V592" s="124"/>
      <c r="W592" s="125"/>
      <c r="X592" s="122"/>
      <c r="Y592" s="122"/>
      <c r="Z592" s="122"/>
      <c r="AA592" s="126"/>
      <c r="AB592" s="122"/>
      <c r="AC592" s="122"/>
      <c r="AD592" s="127"/>
      <c r="AE592" s="127"/>
      <c r="AF592" s="127"/>
      <c r="AG592" s="127"/>
      <c r="AH592" s="124"/>
      <c r="AI592" s="127"/>
      <c r="AJ592" s="127"/>
      <c r="AK592" s="126"/>
      <c r="AL592" s="122"/>
      <c r="AM592" s="122"/>
      <c r="AN592" s="122"/>
      <c r="AO592" s="122"/>
      <c r="AP592" s="122"/>
      <c r="AQ592" s="124"/>
    </row>
    <row r="593" spans="1:43" ht="15.75" customHeight="1">
      <c r="A593" s="122"/>
      <c r="B593" s="122"/>
      <c r="C593" s="122"/>
      <c r="D593" s="122"/>
      <c r="E593" s="122"/>
      <c r="F593" s="122"/>
      <c r="G593" s="122"/>
      <c r="H593" s="122"/>
      <c r="I593" s="122"/>
      <c r="J593" s="122"/>
      <c r="K593" s="122"/>
      <c r="L593" s="122"/>
      <c r="M593" s="123"/>
      <c r="N593" s="123"/>
      <c r="O593" s="122"/>
      <c r="P593" s="124"/>
      <c r="Q593" s="122"/>
      <c r="R593" s="122"/>
      <c r="S593" s="122"/>
      <c r="T593" s="122"/>
      <c r="U593" s="122"/>
      <c r="V593" s="124"/>
      <c r="W593" s="125"/>
      <c r="X593" s="122"/>
      <c r="Y593" s="122"/>
      <c r="Z593" s="122"/>
      <c r="AA593" s="126"/>
      <c r="AB593" s="122"/>
      <c r="AC593" s="122"/>
      <c r="AD593" s="127"/>
      <c r="AE593" s="127"/>
      <c r="AF593" s="127"/>
      <c r="AG593" s="127"/>
      <c r="AH593" s="124"/>
      <c r="AI593" s="127"/>
      <c r="AJ593" s="127"/>
      <c r="AK593" s="126"/>
      <c r="AL593" s="122"/>
      <c r="AM593" s="122"/>
      <c r="AN593" s="122"/>
      <c r="AO593" s="122"/>
      <c r="AP593" s="122"/>
      <c r="AQ593" s="124"/>
    </row>
    <row r="594" spans="1:43" ht="15.75" customHeight="1">
      <c r="A594" s="122"/>
      <c r="B594" s="122"/>
      <c r="C594" s="122"/>
      <c r="D594" s="122"/>
      <c r="E594" s="122"/>
      <c r="F594" s="122"/>
      <c r="G594" s="122"/>
      <c r="H594" s="122"/>
      <c r="I594" s="122"/>
      <c r="J594" s="122"/>
      <c r="K594" s="122"/>
      <c r="L594" s="122"/>
      <c r="M594" s="123"/>
      <c r="N594" s="123"/>
      <c r="O594" s="122"/>
      <c r="P594" s="124"/>
      <c r="Q594" s="122"/>
      <c r="R594" s="122"/>
      <c r="S594" s="122"/>
      <c r="T594" s="122"/>
      <c r="U594" s="122"/>
      <c r="V594" s="124"/>
      <c r="W594" s="125"/>
      <c r="X594" s="122"/>
      <c r="Y594" s="122"/>
      <c r="Z594" s="122"/>
      <c r="AA594" s="126"/>
      <c r="AB594" s="122"/>
      <c r="AC594" s="122"/>
      <c r="AD594" s="127"/>
      <c r="AE594" s="127"/>
      <c r="AF594" s="127"/>
      <c r="AG594" s="127"/>
      <c r="AH594" s="124"/>
      <c r="AI594" s="127"/>
      <c r="AJ594" s="127"/>
      <c r="AK594" s="126"/>
      <c r="AL594" s="122"/>
      <c r="AM594" s="122"/>
      <c r="AN594" s="122"/>
      <c r="AO594" s="122"/>
      <c r="AP594" s="122"/>
      <c r="AQ594" s="124"/>
    </row>
    <row r="595" spans="1:43" ht="15.75" customHeight="1">
      <c r="A595" s="122"/>
      <c r="B595" s="122"/>
      <c r="C595" s="122"/>
      <c r="D595" s="122"/>
      <c r="E595" s="122"/>
      <c r="F595" s="122"/>
      <c r="G595" s="122"/>
      <c r="H595" s="122"/>
      <c r="I595" s="122"/>
      <c r="J595" s="122"/>
      <c r="K595" s="122"/>
      <c r="L595" s="122"/>
      <c r="M595" s="123"/>
      <c r="N595" s="123"/>
      <c r="O595" s="122"/>
      <c r="P595" s="124"/>
      <c r="Q595" s="122"/>
      <c r="R595" s="122"/>
      <c r="S595" s="122"/>
      <c r="T595" s="122"/>
      <c r="U595" s="122"/>
      <c r="V595" s="124"/>
      <c r="W595" s="125"/>
      <c r="X595" s="122"/>
      <c r="Y595" s="122"/>
      <c r="Z595" s="122"/>
      <c r="AA595" s="126"/>
      <c r="AB595" s="122"/>
      <c r="AC595" s="122"/>
      <c r="AD595" s="127"/>
      <c r="AE595" s="127"/>
      <c r="AF595" s="127"/>
      <c r="AG595" s="127"/>
      <c r="AH595" s="124"/>
      <c r="AI595" s="127"/>
      <c r="AJ595" s="127"/>
      <c r="AK595" s="126"/>
      <c r="AL595" s="122"/>
      <c r="AM595" s="122"/>
      <c r="AN595" s="122"/>
      <c r="AO595" s="122"/>
      <c r="AP595" s="122"/>
      <c r="AQ595" s="124"/>
    </row>
    <row r="596" spans="1:43" ht="15.75" customHeight="1">
      <c r="A596" s="122"/>
      <c r="B596" s="122"/>
      <c r="C596" s="122"/>
      <c r="D596" s="122"/>
      <c r="E596" s="122"/>
      <c r="F596" s="122"/>
      <c r="G596" s="122"/>
      <c r="H596" s="122"/>
      <c r="I596" s="122"/>
      <c r="J596" s="122"/>
      <c r="K596" s="122"/>
      <c r="L596" s="122"/>
      <c r="M596" s="123"/>
      <c r="N596" s="123"/>
      <c r="O596" s="122"/>
      <c r="P596" s="124"/>
      <c r="Q596" s="122"/>
      <c r="R596" s="122"/>
      <c r="S596" s="122"/>
      <c r="T596" s="122"/>
      <c r="U596" s="122"/>
      <c r="V596" s="124"/>
      <c r="W596" s="125"/>
      <c r="X596" s="122"/>
      <c r="Y596" s="122"/>
      <c r="Z596" s="122"/>
      <c r="AA596" s="126"/>
      <c r="AB596" s="122"/>
      <c r="AC596" s="122"/>
      <c r="AD596" s="127"/>
      <c r="AE596" s="127"/>
      <c r="AF596" s="127"/>
      <c r="AG596" s="127"/>
      <c r="AH596" s="124"/>
      <c r="AI596" s="127"/>
      <c r="AJ596" s="127"/>
      <c r="AK596" s="126"/>
      <c r="AL596" s="122"/>
      <c r="AM596" s="122"/>
      <c r="AN596" s="122"/>
      <c r="AO596" s="122"/>
      <c r="AP596" s="122"/>
      <c r="AQ596" s="124"/>
    </row>
    <row r="597" spans="1:43" ht="15.75" customHeight="1">
      <c r="A597" s="122"/>
      <c r="B597" s="122"/>
      <c r="C597" s="122"/>
      <c r="D597" s="122"/>
      <c r="E597" s="122"/>
      <c r="F597" s="122"/>
      <c r="G597" s="122"/>
      <c r="H597" s="122"/>
      <c r="I597" s="122"/>
      <c r="J597" s="122"/>
      <c r="K597" s="122"/>
      <c r="L597" s="122"/>
      <c r="M597" s="123"/>
      <c r="N597" s="123"/>
      <c r="O597" s="122"/>
      <c r="P597" s="124"/>
      <c r="Q597" s="122"/>
      <c r="R597" s="122"/>
      <c r="S597" s="122"/>
      <c r="T597" s="122"/>
      <c r="U597" s="122"/>
      <c r="V597" s="124"/>
      <c r="W597" s="125"/>
      <c r="X597" s="122"/>
      <c r="Y597" s="122"/>
      <c r="Z597" s="122"/>
      <c r="AA597" s="126"/>
      <c r="AB597" s="122"/>
      <c r="AC597" s="122"/>
      <c r="AD597" s="127"/>
      <c r="AE597" s="127"/>
      <c r="AF597" s="127"/>
      <c r="AG597" s="127"/>
      <c r="AH597" s="124"/>
      <c r="AI597" s="127"/>
      <c r="AJ597" s="127"/>
      <c r="AK597" s="126"/>
      <c r="AL597" s="122"/>
      <c r="AM597" s="122"/>
      <c r="AN597" s="122"/>
      <c r="AO597" s="122"/>
      <c r="AP597" s="122"/>
      <c r="AQ597" s="124"/>
    </row>
    <row r="598" spans="1:43" ht="15.75" customHeight="1">
      <c r="A598" s="122"/>
      <c r="B598" s="122"/>
      <c r="C598" s="122"/>
      <c r="D598" s="122"/>
      <c r="E598" s="122"/>
      <c r="F598" s="122"/>
      <c r="G598" s="122"/>
      <c r="H598" s="122"/>
      <c r="I598" s="122"/>
      <c r="J598" s="122"/>
      <c r="K598" s="122"/>
      <c r="L598" s="122"/>
      <c r="M598" s="123"/>
      <c r="N598" s="123"/>
      <c r="O598" s="122"/>
      <c r="P598" s="124"/>
      <c r="Q598" s="122"/>
      <c r="R598" s="122"/>
      <c r="S598" s="122"/>
      <c r="T598" s="122"/>
      <c r="U598" s="122"/>
      <c r="V598" s="124"/>
      <c r="W598" s="125"/>
      <c r="X598" s="122"/>
      <c r="Y598" s="122"/>
      <c r="Z598" s="122"/>
      <c r="AA598" s="126"/>
      <c r="AB598" s="122"/>
      <c r="AC598" s="122"/>
      <c r="AD598" s="127"/>
      <c r="AE598" s="127"/>
      <c r="AF598" s="127"/>
      <c r="AG598" s="127"/>
      <c r="AH598" s="124"/>
      <c r="AI598" s="127"/>
      <c r="AJ598" s="127"/>
      <c r="AK598" s="126"/>
      <c r="AL598" s="122"/>
      <c r="AM598" s="122"/>
      <c r="AN598" s="122"/>
      <c r="AO598" s="122"/>
      <c r="AP598" s="122"/>
      <c r="AQ598" s="124"/>
    </row>
    <row r="599" spans="1:43" ht="15.75" customHeight="1">
      <c r="A599" s="122"/>
      <c r="B599" s="122"/>
      <c r="C599" s="122"/>
      <c r="D599" s="122"/>
      <c r="E599" s="122"/>
      <c r="F599" s="122"/>
      <c r="G599" s="122"/>
      <c r="H599" s="122"/>
      <c r="I599" s="122"/>
      <c r="J599" s="122"/>
      <c r="K599" s="122"/>
      <c r="L599" s="122"/>
      <c r="M599" s="123"/>
      <c r="N599" s="123"/>
      <c r="O599" s="122"/>
      <c r="P599" s="124"/>
      <c r="Q599" s="122"/>
      <c r="R599" s="122"/>
      <c r="S599" s="122"/>
      <c r="T599" s="122"/>
      <c r="U599" s="122"/>
      <c r="V599" s="124"/>
      <c r="W599" s="125"/>
      <c r="X599" s="122"/>
      <c r="Y599" s="122"/>
      <c r="Z599" s="122"/>
      <c r="AA599" s="126"/>
      <c r="AB599" s="122"/>
      <c r="AC599" s="122"/>
      <c r="AD599" s="127"/>
      <c r="AE599" s="127"/>
      <c r="AF599" s="127"/>
      <c r="AG599" s="127"/>
      <c r="AH599" s="124"/>
      <c r="AI599" s="127"/>
      <c r="AJ599" s="127"/>
      <c r="AK599" s="126"/>
      <c r="AL599" s="122"/>
      <c r="AM599" s="122"/>
      <c r="AN599" s="122"/>
      <c r="AO599" s="122"/>
      <c r="AP599" s="122"/>
      <c r="AQ599" s="124"/>
    </row>
    <row r="600" spans="1:43" ht="15.75" customHeight="1">
      <c r="A600" s="122"/>
      <c r="B600" s="122"/>
      <c r="C600" s="122"/>
      <c r="D600" s="122"/>
      <c r="E600" s="122"/>
      <c r="F600" s="122"/>
      <c r="G600" s="122"/>
      <c r="H600" s="122"/>
      <c r="I600" s="122"/>
      <c r="J600" s="122"/>
      <c r="K600" s="122"/>
      <c r="L600" s="122"/>
      <c r="M600" s="123"/>
      <c r="N600" s="123"/>
      <c r="O600" s="122"/>
      <c r="P600" s="124"/>
      <c r="Q600" s="122"/>
      <c r="R600" s="122"/>
      <c r="S600" s="122"/>
      <c r="T600" s="122"/>
      <c r="U600" s="122"/>
      <c r="V600" s="124"/>
      <c r="W600" s="125"/>
      <c r="X600" s="122"/>
      <c r="Y600" s="122"/>
      <c r="Z600" s="122"/>
      <c r="AA600" s="126"/>
      <c r="AB600" s="122"/>
      <c r="AC600" s="122"/>
      <c r="AD600" s="127"/>
      <c r="AE600" s="127"/>
      <c r="AF600" s="127"/>
      <c r="AG600" s="127"/>
      <c r="AH600" s="124"/>
      <c r="AI600" s="127"/>
      <c r="AJ600" s="127"/>
      <c r="AK600" s="126"/>
      <c r="AL600" s="122"/>
      <c r="AM600" s="122"/>
      <c r="AN600" s="122"/>
      <c r="AO600" s="122"/>
      <c r="AP600" s="122"/>
      <c r="AQ600" s="124"/>
    </row>
    <row r="601" spans="1:43" ht="15.75" customHeight="1">
      <c r="A601" s="122"/>
      <c r="B601" s="122"/>
      <c r="C601" s="122"/>
      <c r="D601" s="122"/>
      <c r="E601" s="122"/>
      <c r="F601" s="122"/>
      <c r="G601" s="122"/>
      <c r="H601" s="122"/>
      <c r="I601" s="122"/>
      <c r="J601" s="122"/>
      <c r="K601" s="122"/>
      <c r="L601" s="122"/>
      <c r="M601" s="123"/>
      <c r="N601" s="123"/>
      <c r="O601" s="122"/>
      <c r="P601" s="124"/>
      <c r="Q601" s="122"/>
      <c r="R601" s="122"/>
      <c r="S601" s="122"/>
      <c r="T601" s="122"/>
      <c r="U601" s="122"/>
      <c r="V601" s="124"/>
      <c r="W601" s="125"/>
      <c r="X601" s="122"/>
      <c r="Y601" s="122"/>
      <c r="Z601" s="122"/>
      <c r="AA601" s="126"/>
      <c r="AB601" s="122"/>
      <c r="AC601" s="122"/>
      <c r="AD601" s="127"/>
      <c r="AE601" s="127"/>
      <c r="AF601" s="127"/>
      <c r="AG601" s="127"/>
      <c r="AH601" s="124"/>
      <c r="AI601" s="127"/>
      <c r="AJ601" s="127"/>
      <c r="AK601" s="126"/>
      <c r="AL601" s="122"/>
      <c r="AM601" s="122"/>
      <c r="AN601" s="122"/>
      <c r="AO601" s="122"/>
      <c r="AP601" s="122"/>
      <c r="AQ601" s="124"/>
    </row>
    <row r="602" spans="1:43" ht="15.75" customHeight="1">
      <c r="A602" s="122"/>
      <c r="B602" s="122"/>
      <c r="C602" s="122"/>
      <c r="D602" s="122"/>
      <c r="E602" s="122"/>
      <c r="F602" s="122"/>
      <c r="G602" s="122"/>
      <c r="H602" s="122"/>
      <c r="I602" s="122"/>
      <c r="J602" s="122"/>
      <c r="K602" s="122"/>
      <c r="L602" s="122"/>
      <c r="M602" s="123"/>
      <c r="N602" s="123"/>
      <c r="O602" s="122"/>
      <c r="P602" s="124"/>
      <c r="Q602" s="122"/>
      <c r="R602" s="122"/>
      <c r="S602" s="122"/>
      <c r="T602" s="122"/>
      <c r="U602" s="122"/>
      <c r="V602" s="124"/>
      <c r="W602" s="125"/>
      <c r="X602" s="122"/>
      <c r="Y602" s="122"/>
      <c r="Z602" s="122"/>
      <c r="AA602" s="126"/>
      <c r="AB602" s="122"/>
      <c r="AC602" s="122"/>
      <c r="AD602" s="127"/>
      <c r="AE602" s="127"/>
      <c r="AF602" s="127"/>
      <c r="AG602" s="127"/>
      <c r="AH602" s="124"/>
      <c r="AI602" s="127"/>
      <c r="AJ602" s="127"/>
      <c r="AK602" s="126"/>
      <c r="AL602" s="122"/>
      <c r="AM602" s="122"/>
      <c r="AN602" s="122"/>
      <c r="AO602" s="122"/>
      <c r="AP602" s="122"/>
      <c r="AQ602" s="124"/>
    </row>
    <row r="603" spans="1:43" ht="15.75" customHeight="1">
      <c r="A603" s="122"/>
      <c r="B603" s="122"/>
      <c r="C603" s="122"/>
      <c r="D603" s="122"/>
      <c r="E603" s="122"/>
      <c r="F603" s="122"/>
      <c r="G603" s="122"/>
      <c r="H603" s="122"/>
      <c r="I603" s="122"/>
      <c r="J603" s="122"/>
      <c r="K603" s="122"/>
      <c r="L603" s="122"/>
      <c r="M603" s="123"/>
      <c r="N603" s="123"/>
      <c r="O603" s="122"/>
      <c r="P603" s="124"/>
      <c r="Q603" s="122"/>
      <c r="R603" s="122"/>
      <c r="S603" s="122"/>
      <c r="T603" s="122"/>
      <c r="U603" s="122"/>
      <c r="V603" s="124"/>
      <c r="W603" s="125"/>
      <c r="X603" s="122"/>
      <c r="Y603" s="122"/>
      <c r="Z603" s="122"/>
      <c r="AA603" s="126"/>
      <c r="AB603" s="122"/>
      <c r="AC603" s="122"/>
      <c r="AD603" s="127"/>
      <c r="AE603" s="127"/>
      <c r="AF603" s="127"/>
      <c r="AG603" s="127"/>
      <c r="AH603" s="124"/>
      <c r="AI603" s="127"/>
      <c r="AJ603" s="127"/>
      <c r="AK603" s="126"/>
      <c r="AL603" s="122"/>
      <c r="AM603" s="122"/>
      <c r="AN603" s="122"/>
      <c r="AO603" s="122"/>
      <c r="AP603" s="122"/>
      <c r="AQ603" s="124"/>
    </row>
    <row r="604" spans="1:43" ht="15.75" customHeight="1">
      <c r="A604" s="122"/>
      <c r="B604" s="122"/>
      <c r="C604" s="122"/>
      <c r="D604" s="122"/>
      <c r="E604" s="122"/>
      <c r="F604" s="122"/>
      <c r="G604" s="122"/>
      <c r="H604" s="122"/>
      <c r="I604" s="122"/>
      <c r="J604" s="122"/>
      <c r="K604" s="122"/>
      <c r="L604" s="122"/>
      <c r="M604" s="123"/>
      <c r="N604" s="123"/>
      <c r="O604" s="122"/>
      <c r="P604" s="124"/>
      <c r="Q604" s="122"/>
      <c r="R604" s="122"/>
      <c r="S604" s="122"/>
      <c r="T604" s="122"/>
      <c r="U604" s="122"/>
      <c r="V604" s="124"/>
      <c r="W604" s="125"/>
      <c r="X604" s="122"/>
      <c r="Y604" s="122"/>
      <c r="Z604" s="122"/>
      <c r="AA604" s="126"/>
      <c r="AB604" s="122"/>
      <c r="AC604" s="122"/>
      <c r="AD604" s="127"/>
      <c r="AE604" s="127"/>
      <c r="AF604" s="127"/>
      <c r="AG604" s="127"/>
      <c r="AH604" s="124"/>
      <c r="AI604" s="127"/>
      <c r="AJ604" s="127"/>
      <c r="AK604" s="126"/>
      <c r="AL604" s="122"/>
      <c r="AM604" s="122"/>
      <c r="AN604" s="122"/>
      <c r="AO604" s="122"/>
      <c r="AP604" s="122"/>
      <c r="AQ604" s="124"/>
    </row>
    <row r="605" spans="1:43" ht="15.75" customHeight="1">
      <c r="A605" s="122"/>
      <c r="B605" s="122"/>
      <c r="C605" s="122"/>
      <c r="D605" s="122"/>
      <c r="E605" s="122"/>
      <c r="F605" s="122"/>
      <c r="G605" s="122"/>
      <c r="H605" s="122"/>
      <c r="I605" s="122"/>
      <c r="J605" s="122"/>
      <c r="K605" s="122"/>
      <c r="L605" s="122"/>
      <c r="M605" s="123"/>
      <c r="N605" s="123"/>
      <c r="O605" s="122"/>
      <c r="P605" s="124"/>
      <c r="Q605" s="122"/>
      <c r="R605" s="122"/>
      <c r="S605" s="122"/>
      <c r="T605" s="122"/>
      <c r="U605" s="122"/>
      <c r="V605" s="124"/>
      <c r="W605" s="125"/>
      <c r="X605" s="122"/>
      <c r="Y605" s="122"/>
      <c r="Z605" s="122"/>
      <c r="AA605" s="126"/>
      <c r="AB605" s="122"/>
      <c r="AC605" s="122"/>
      <c r="AD605" s="127"/>
      <c r="AE605" s="127"/>
      <c r="AF605" s="127"/>
      <c r="AG605" s="127"/>
      <c r="AH605" s="124"/>
      <c r="AI605" s="127"/>
      <c r="AJ605" s="127"/>
      <c r="AK605" s="126"/>
      <c r="AL605" s="122"/>
      <c r="AM605" s="122"/>
      <c r="AN605" s="122"/>
      <c r="AO605" s="122"/>
      <c r="AP605" s="122"/>
      <c r="AQ605" s="124"/>
    </row>
    <row r="606" spans="1:43" ht="15.75" customHeight="1">
      <c r="A606" s="122"/>
      <c r="B606" s="122"/>
      <c r="C606" s="122"/>
      <c r="D606" s="122"/>
      <c r="E606" s="122"/>
      <c r="F606" s="122"/>
      <c r="G606" s="122"/>
      <c r="H606" s="122"/>
      <c r="I606" s="122"/>
      <c r="J606" s="122"/>
      <c r="K606" s="122"/>
      <c r="L606" s="122"/>
      <c r="M606" s="123"/>
      <c r="N606" s="123"/>
      <c r="O606" s="122"/>
      <c r="P606" s="124"/>
      <c r="Q606" s="122"/>
      <c r="R606" s="122"/>
      <c r="S606" s="122"/>
      <c r="T606" s="122"/>
      <c r="U606" s="122"/>
      <c r="V606" s="124"/>
      <c r="W606" s="125"/>
      <c r="X606" s="122"/>
      <c r="Y606" s="122"/>
      <c r="Z606" s="122"/>
      <c r="AA606" s="126"/>
      <c r="AB606" s="122"/>
      <c r="AC606" s="122"/>
      <c r="AD606" s="127"/>
      <c r="AE606" s="127"/>
      <c r="AF606" s="127"/>
      <c r="AG606" s="127"/>
      <c r="AH606" s="124"/>
      <c r="AI606" s="127"/>
      <c r="AJ606" s="127"/>
      <c r="AK606" s="126"/>
      <c r="AL606" s="122"/>
      <c r="AM606" s="122"/>
      <c r="AN606" s="122"/>
      <c r="AO606" s="122"/>
      <c r="AP606" s="122"/>
      <c r="AQ606" s="124"/>
    </row>
    <row r="607" spans="1:43" ht="15.75" customHeight="1">
      <c r="A607" s="122"/>
      <c r="B607" s="122"/>
      <c r="C607" s="122"/>
      <c r="D607" s="122"/>
      <c r="E607" s="122"/>
      <c r="F607" s="122"/>
      <c r="G607" s="122"/>
      <c r="H607" s="122"/>
      <c r="I607" s="122"/>
      <c r="J607" s="122"/>
      <c r="K607" s="122"/>
      <c r="L607" s="122"/>
      <c r="M607" s="123"/>
      <c r="N607" s="123"/>
      <c r="O607" s="122"/>
      <c r="P607" s="124"/>
      <c r="Q607" s="122"/>
      <c r="R607" s="122"/>
      <c r="S607" s="122"/>
      <c r="T607" s="122"/>
      <c r="U607" s="122"/>
      <c r="V607" s="124"/>
      <c r="W607" s="125"/>
      <c r="X607" s="122"/>
      <c r="Y607" s="122"/>
      <c r="Z607" s="122"/>
      <c r="AA607" s="126"/>
      <c r="AB607" s="122"/>
      <c r="AC607" s="122"/>
      <c r="AD607" s="127"/>
      <c r="AE607" s="127"/>
      <c r="AF607" s="127"/>
      <c r="AG607" s="127"/>
      <c r="AH607" s="124"/>
      <c r="AI607" s="127"/>
      <c r="AJ607" s="127"/>
      <c r="AK607" s="126"/>
      <c r="AL607" s="122"/>
      <c r="AM607" s="122"/>
      <c r="AN607" s="122"/>
      <c r="AO607" s="122"/>
      <c r="AP607" s="122"/>
      <c r="AQ607" s="124"/>
    </row>
    <row r="608" spans="1:43" ht="15.75" customHeight="1">
      <c r="A608" s="122"/>
      <c r="B608" s="122"/>
      <c r="C608" s="122"/>
      <c r="D608" s="122"/>
      <c r="E608" s="122"/>
      <c r="F608" s="122"/>
      <c r="G608" s="122"/>
      <c r="H608" s="122"/>
      <c r="I608" s="122"/>
      <c r="J608" s="122"/>
      <c r="K608" s="122"/>
      <c r="L608" s="122"/>
      <c r="M608" s="123"/>
      <c r="N608" s="123"/>
      <c r="O608" s="122"/>
      <c r="P608" s="124"/>
      <c r="Q608" s="122"/>
      <c r="R608" s="122"/>
      <c r="S608" s="122"/>
      <c r="T608" s="122"/>
      <c r="U608" s="122"/>
      <c r="V608" s="124"/>
      <c r="W608" s="125"/>
      <c r="X608" s="122"/>
      <c r="Y608" s="122"/>
      <c r="Z608" s="122"/>
      <c r="AA608" s="126"/>
      <c r="AB608" s="122"/>
      <c r="AC608" s="122"/>
      <c r="AD608" s="127"/>
      <c r="AE608" s="127"/>
      <c r="AF608" s="127"/>
      <c r="AG608" s="127"/>
      <c r="AH608" s="124"/>
      <c r="AI608" s="127"/>
      <c r="AJ608" s="127"/>
      <c r="AK608" s="126"/>
      <c r="AL608" s="122"/>
      <c r="AM608" s="122"/>
      <c r="AN608" s="122"/>
      <c r="AO608" s="122"/>
      <c r="AP608" s="122"/>
      <c r="AQ608" s="124"/>
    </row>
    <row r="609" spans="1:43" ht="15.75" customHeight="1">
      <c r="A609" s="122"/>
      <c r="B609" s="122"/>
      <c r="C609" s="122"/>
      <c r="D609" s="122"/>
      <c r="E609" s="122"/>
      <c r="F609" s="122"/>
      <c r="G609" s="122"/>
      <c r="H609" s="122"/>
      <c r="I609" s="122"/>
      <c r="J609" s="122"/>
      <c r="K609" s="122"/>
      <c r="L609" s="122"/>
      <c r="M609" s="123"/>
      <c r="N609" s="123"/>
      <c r="O609" s="122"/>
      <c r="P609" s="124"/>
      <c r="Q609" s="122"/>
      <c r="R609" s="122"/>
      <c r="S609" s="122"/>
      <c r="T609" s="122"/>
      <c r="U609" s="122"/>
      <c r="V609" s="124"/>
      <c r="W609" s="125"/>
      <c r="X609" s="122"/>
      <c r="Y609" s="122"/>
      <c r="Z609" s="122"/>
      <c r="AA609" s="126"/>
      <c r="AB609" s="122"/>
      <c r="AC609" s="122"/>
      <c r="AD609" s="127"/>
      <c r="AE609" s="127"/>
      <c r="AF609" s="127"/>
      <c r="AG609" s="127"/>
      <c r="AH609" s="124"/>
      <c r="AI609" s="127"/>
      <c r="AJ609" s="127"/>
      <c r="AK609" s="126"/>
      <c r="AL609" s="122"/>
      <c r="AM609" s="122"/>
      <c r="AN609" s="122"/>
      <c r="AO609" s="122"/>
      <c r="AP609" s="122"/>
      <c r="AQ609" s="124"/>
    </row>
    <row r="610" spans="1:43" ht="15.75" customHeight="1">
      <c r="A610" s="122"/>
      <c r="B610" s="122"/>
      <c r="C610" s="122"/>
      <c r="D610" s="122"/>
      <c r="E610" s="122"/>
      <c r="F610" s="122"/>
      <c r="G610" s="122"/>
      <c r="H610" s="122"/>
      <c r="I610" s="122"/>
      <c r="J610" s="122"/>
      <c r="K610" s="122"/>
      <c r="L610" s="122"/>
      <c r="M610" s="123"/>
      <c r="N610" s="123"/>
      <c r="O610" s="122"/>
      <c r="P610" s="124"/>
      <c r="Q610" s="122"/>
      <c r="R610" s="122"/>
      <c r="S610" s="122"/>
      <c r="T610" s="122"/>
      <c r="U610" s="122"/>
      <c r="V610" s="124"/>
      <c r="W610" s="125"/>
      <c r="X610" s="122"/>
      <c r="Y610" s="122"/>
      <c r="Z610" s="122"/>
      <c r="AA610" s="126"/>
      <c r="AB610" s="122"/>
      <c r="AC610" s="122"/>
      <c r="AD610" s="127"/>
      <c r="AE610" s="127"/>
      <c r="AF610" s="127"/>
      <c r="AG610" s="127"/>
      <c r="AH610" s="124"/>
      <c r="AI610" s="127"/>
      <c r="AJ610" s="127"/>
      <c r="AK610" s="126"/>
      <c r="AL610" s="122"/>
      <c r="AM610" s="122"/>
      <c r="AN610" s="122"/>
      <c r="AO610" s="122"/>
      <c r="AP610" s="122"/>
      <c r="AQ610" s="124"/>
    </row>
    <row r="611" spans="1:43" ht="15.75" customHeight="1">
      <c r="A611" s="122"/>
      <c r="B611" s="122"/>
      <c r="C611" s="122"/>
      <c r="D611" s="122"/>
      <c r="E611" s="122"/>
      <c r="F611" s="122"/>
      <c r="G611" s="122"/>
      <c r="H611" s="122"/>
      <c r="I611" s="122"/>
      <c r="J611" s="122"/>
      <c r="K611" s="122"/>
      <c r="L611" s="122"/>
      <c r="M611" s="123"/>
      <c r="N611" s="123"/>
      <c r="O611" s="122"/>
      <c r="P611" s="124"/>
      <c r="Q611" s="122"/>
      <c r="R611" s="122"/>
      <c r="S611" s="122"/>
      <c r="T611" s="122"/>
      <c r="U611" s="122"/>
      <c r="V611" s="124"/>
      <c r="W611" s="125"/>
      <c r="X611" s="122"/>
      <c r="Y611" s="122"/>
      <c r="Z611" s="122"/>
      <c r="AA611" s="126"/>
      <c r="AB611" s="122"/>
      <c r="AC611" s="122"/>
      <c r="AD611" s="127"/>
      <c r="AE611" s="127"/>
      <c r="AF611" s="127"/>
      <c r="AG611" s="127"/>
      <c r="AH611" s="124"/>
      <c r="AI611" s="127"/>
      <c r="AJ611" s="127"/>
      <c r="AK611" s="126"/>
      <c r="AL611" s="122"/>
      <c r="AM611" s="122"/>
      <c r="AN611" s="122"/>
      <c r="AO611" s="122"/>
      <c r="AP611" s="122"/>
      <c r="AQ611" s="124"/>
    </row>
    <row r="612" spans="1:43" ht="15.75" customHeight="1">
      <c r="A612" s="122"/>
      <c r="B612" s="122"/>
      <c r="C612" s="122"/>
      <c r="D612" s="122"/>
      <c r="E612" s="122"/>
      <c r="F612" s="122"/>
      <c r="G612" s="122"/>
      <c r="H612" s="122"/>
      <c r="I612" s="122"/>
      <c r="J612" s="122"/>
      <c r="K612" s="122"/>
      <c r="L612" s="122"/>
      <c r="M612" s="123"/>
      <c r="N612" s="123"/>
      <c r="O612" s="122"/>
      <c r="P612" s="124"/>
      <c r="Q612" s="122"/>
      <c r="R612" s="122"/>
      <c r="S612" s="122"/>
      <c r="T612" s="122"/>
      <c r="U612" s="122"/>
      <c r="V612" s="124"/>
      <c r="W612" s="125"/>
      <c r="X612" s="122"/>
      <c r="Y612" s="122"/>
      <c r="Z612" s="122"/>
      <c r="AA612" s="126"/>
      <c r="AB612" s="122"/>
      <c r="AC612" s="122"/>
      <c r="AD612" s="127"/>
      <c r="AE612" s="127"/>
      <c r="AF612" s="127"/>
      <c r="AG612" s="127"/>
      <c r="AH612" s="124"/>
      <c r="AI612" s="127"/>
      <c r="AJ612" s="127"/>
      <c r="AK612" s="126"/>
      <c r="AL612" s="122"/>
      <c r="AM612" s="122"/>
      <c r="AN612" s="122"/>
      <c r="AO612" s="122"/>
      <c r="AP612" s="122"/>
      <c r="AQ612" s="124"/>
    </row>
    <row r="613" spans="1:43" ht="15.75" customHeight="1">
      <c r="A613" s="122"/>
      <c r="B613" s="122"/>
      <c r="C613" s="122"/>
      <c r="D613" s="122"/>
      <c r="E613" s="122"/>
      <c r="F613" s="122"/>
      <c r="G613" s="122"/>
      <c r="H613" s="122"/>
      <c r="I613" s="122"/>
      <c r="J613" s="122"/>
      <c r="K613" s="122"/>
      <c r="L613" s="122"/>
      <c r="M613" s="123"/>
      <c r="N613" s="123"/>
      <c r="O613" s="122"/>
      <c r="P613" s="124"/>
      <c r="Q613" s="122"/>
      <c r="R613" s="122"/>
      <c r="S613" s="122"/>
      <c r="T613" s="122"/>
      <c r="U613" s="122"/>
      <c r="V613" s="124"/>
      <c r="W613" s="125"/>
      <c r="X613" s="122"/>
      <c r="Y613" s="122"/>
      <c r="Z613" s="122"/>
      <c r="AA613" s="126"/>
      <c r="AB613" s="122"/>
      <c r="AC613" s="122"/>
      <c r="AD613" s="127"/>
      <c r="AE613" s="127"/>
      <c r="AF613" s="127"/>
      <c r="AG613" s="127"/>
      <c r="AH613" s="124"/>
      <c r="AI613" s="127"/>
      <c r="AJ613" s="127"/>
      <c r="AK613" s="126"/>
      <c r="AL613" s="122"/>
      <c r="AM613" s="122"/>
      <c r="AN613" s="122"/>
      <c r="AO613" s="122"/>
      <c r="AP613" s="122"/>
      <c r="AQ613" s="124"/>
    </row>
    <row r="614" spans="1:43" ht="15.75" customHeight="1">
      <c r="A614" s="122"/>
      <c r="B614" s="122"/>
      <c r="C614" s="122"/>
      <c r="D614" s="122"/>
      <c r="E614" s="122"/>
      <c r="F614" s="122"/>
      <c r="G614" s="122"/>
      <c r="H614" s="122"/>
      <c r="I614" s="122"/>
      <c r="J614" s="122"/>
      <c r="K614" s="122"/>
      <c r="L614" s="122"/>
      <c r="M614" s="123"/>
      <c r="N614" s="123"/>
      <c r="O614" s="122"/>
      <c r="P614" s="124"/>
      <c r="Q614" s="122"/>
      <c r="R614" s="122"/>
      <c r="S614" s="122"/>
      <c r="T614" s="122"/>
      <c r="U614" s="122"/>
      <c r="V614" s="124"/>
      <c r="W614" s="125"/>
      <c r="X614" s="122"/>
      <c r="Y614" s="122"/>
      <c r="Z614" s="122"/>
      <c r="AA614" s="126"/>
      <c r="AB614" s="122"/>
      <c r="AC614" s="122"/>
      <c r="AD614" s="127"/>
      <c r="AE614" s="127"/>
      <c r="AF614" s="127"/>
      <c r="AG614" s="127"/>
      <c r="AH614" s="124"/>
      <c r="AI614" s="127"/>
      <c r="AJ614" s="127"/>
      <c r="AK614" s="126"/>
      <c r="AL614" s="122"/>
      <c r="AM614" s="122"/>
      <c r="AN614" s="122"/>
      <c r="AO614" s="122"/>
      <c r="AP614" s="122"/>
      <c r="AQ614" s="124"/>
    </row>
    <row r="615" spans="1:43" ht="15.75" customHeight="1">
      <c r="A615" s="122"/>
      <c r="B615" s="122"/>
      <c r="C615" s="122"/>
      <c r="D615" s="122"/>
      <c r="E615" s="122"/>
      <c r="F615" s="122"/>
      <c r="G615" s="122"/>
      <c r="H615" s="122"/>
      <c r="I615" s="122"/>
      <c r="J615" s="122"/>
      <c r="K615" s="122"/>
      <c r="L615" s="122"/>
      <c r="M615" s="123"/>
      <c r="N615" s="123"/>
      <c r="O615" s="122"/>
      <c r="P615" s="124"/>
      <c r="Q615" s="122"/>
      <c r="R615" s="122"/>
      <c r="S615" s="122"/>
      <c r="T615" s="122"/>
      <c r="U615" s="122"/>
      <c r="V615" s="124"/>
      <c r="W615" s="125"/>
      <c r="X615" s="122"/>
      <c r="Y615" s="122"/>
      <c r="Z615" s="122"/>
      <c r="AA615" s="126"/>
      <c r="AB615" s="122"/>
      <c r="AC615" s="122"/>
      <c r="AD615" s="127"/>
      <c r="AE615" s="127"/>
      <c r="AF615" s="127"/>
      <c r="AG615" s="127"/>
      <c r="AH615" s="124"/>
      <c r="AI615" s="127"/>
      <c r="AJ615" s="127"/>
      <c r="AK615" s="126"/>
      <c r="AL615" s="122"/>
      <c r="AM615" s="122"/>
      <c r="AN615" s="122"/>
      <c r="AO615" s="122"/>
      <c r="AP615" s="122"/>
      <c r="AQ615" s="124"/>
    </row>
    <row r="616" spans="1:43" ht="15.75" customHeight="1">
      <c r="A616" s="122"/>
      <c r="B616" s="122"/>
      <c r="C616" s="122"/>
      <c r="D616" s="122"/>
      <c r="E616" s="122"/>
      <c r="F616" s="122"/>
      <c r="G616" s="122"/>
      <c r="H616" s="122"/>
      <c r="I616" s="122"/>
      <c r="J616" s="122"/>
      <c r="K616" s="122"/>
      <c r="L616" s="122"/>
      <c r="M616" s="123"/>
      <c r="N616" s="123"/>
      <c r="O616" s="122"/>
      <c r="P616" s="124"/>
      <c r="Q616" s="122"/>
      <c r="R616" s="122"/>
      <c r="S616" s="122"/>
      <c r="T616" s="122"/>
      <c r="U616" s="122"/>
      <c r="V616" s="124"/>
      <c r="W616" s="125"/>
      <c r="X616" s="122"/>
      <c r="Y616" s="122"/>
      <c r="Z616" s="122"/>
      <c r="AA616" s="126"/>
      <c r="AB616" s="122"/>
      <c r="AC616" s="122"/>
      <c r="AD616" s="127"/>
      <c r="AE616" s="127"/>
      <c r="AF616" s="127"/>
      <c r="AG616" s="127"/>
      <c r="AH616" s="124"/>
      <c r="AI616" s="127"/>
      <c r="AJ616" s="127"/>
      <c r="AK616" s="126"/>
      <c r="AL616" s="122"/>
      <c r="AM616" s="122"/>
      <c r="AN616" s="122"/>
      <c r="AO616" s="122"/>
      <c r="AP616" s="122"/>
      <c r="AQ616" s="124"/>
    </row>
    <row r="617" spans="1:43" ht="15.75" customHeight="1">
      <c r="A617" s="122"/>
      <c r="B617" s="122"/>
      <c r="C617" s="122"/>
      <c r="D617" s="122"/>
      <c r="E617" s="122"/>
      <c r="F617" s="122"/>
      <c r="G617" s="122"/>
      <c r="H617" s="122"/>
      <c r="I617" s="122"/>
      <c r="J617" s="122"/>
      <c r="K617" s="122"/>
      <c r="L617" s="122"/>
      <c r="M617" s="123"/>
      <c r="N617" s="123"/>
      <c r="O617" s="122"/>
      <c r="P617" s="124"/>
      <c r="Q617" s="122"/>
      <c r="R617" s="122"/>
      <c r="S617" s="122"/>
      <c r="T617" s="122"/>
      <c r="U617" s="122"/>
      <c r="V617" s="124"/>
      <c r="W617" s="125"/>
      <c r="X617" s="122"/>
      <c r="Y617" s="122"/>
      <c r="Z617" s="122"/>
      <c r="AA617" s="126"/>
      <c r="AB617" s="122"/>
      <c r="AC617" s="122"/>
      <c r="AD617" s="127"/>
      <c r="AE617" s="127"/>
      <c r="AF617" s="127"/>
      <c r="AG617" s="127"/>
      <c r="AH617" s="124"/>
      <c r="AI617" s="127"/>
      <c r="AJ617" s="127"/>
      <c r="AK617" s="126"/>
      <c r="AL617" s="122"/>
      <c r="AM617" s="122"/>
      <c r="AN617" s="122"/>
      <c r="AO617" s="122"/>
      <c r="AP617" s="122"/>
      <c r="AQ617" s="124"/>
    </row>
    <row r="618" spans="1:43" ht="15.75" customHeight="1">
      <c r="A618" s="122"/>
      <c r="B618" s="122"/>
      <c r="C618" s="122"/>
      <c r="D618" s="122"/>
      <c r="E618" s="122"/>
      <c r="F618" s="122"/>
      <c r="G618" s="122"/>
      <c r="H618" s="122"/>
      <c r="I618" s="122"/>
      <c r="J618" s="122"/>
      <c r="K618" s="122"/>
      <c r="L618" s="122"/>
      <c r="M618" s="123"/>
      <c r="N618" s="123"/>
      <c r="O618" s="122"/>
      <c r="P618" s="124"/>
      <c r="Q618" s="122"/>
      <c r="R618" s="122"/>
      <c r="S618" s="122"/>
      <c r="T618" s="122"/>
      <c r="U618" s="122"/>
      <c r="V618" s="124"/>
      <c r="W618" s="125"/>
      <c r="X618" s="122"/>
      <c r="Y618" s="122"/>
      <c r="Z618" s="122"/>
      <c r="AA618" s="126"/>
      <c r="AB618" s="122"/>
      <c r="AC618" s="122"/>
      <c r="AD618" s="127"/>
      <c r="AE618" s="127"/>
      <c r="AF618" s="127"/>
      <c r="AG618" s="127"/>
      <c r="AH618" s="124"/>
      <c r="AI618" s="127"/>
      <c r="AJ618" s="127"/>
      <c r="AK618" s="126"/>
      <c r="AL618" s="122"/>
      <c r="AM618" s="122"/>
      <c r="AN618" s="122"/>
      <c r="AO618" s="122"/>
      <c r="AP618" s="122"/>
      <c r="AQ618" s="124"/>
    </row>
    <row r="619" spans="1:43" ht="15.75" customHeight="1">
      <c r="A619" s="122"/>
      <c r="B619" s="122"/>
      <c r="C619" s="122"/>
      <c r="D619" s="122"/>
      <c r="E619" s="122"/>
      <c r="F619" s="122"/>
      <c r="G619" s="122"/>
      <c r="H619" s="122"/>
      <c r="I619" s="122"/>
      <c r="J619" s="122"/>
      <c r="K619" s="122"/>
      <c r="L619" s="122"/>
      <c r="M619" s="123"/>
      <c r="N619" s="123"/>
      <c r="O619" s="122"/>
      <c r="P619" s="124"/>
      <c r="Q619" s="122"/>
      <c r="R619" s="122"/>
      <c r="S619" s="122"/>
      <c r="T619" s="122"/>
      <c r="U619" s="122"/>
      <c r="V619" s="124"/>
      <c r="W619" s="125"/>
      <c r="X619" s="122"/>
      <c r="Y619" s="122"/>
      <c r="Z619" s="122"/>
      <c r="AA619" s="126"/>
      <c r="AB619" s="122"/>
      <c r="AC619" s="122"/>
      <c r="AD619" s="127"/>
      <c r="AE619" s="127"/>
      <c r="AF619" s="127"/>
      <c r="AG619" s="127"/>
      <c r="AH619" s="124"/>
      <c r="AI619" s="127"/>
      <c r="AJ619" s="127"/>
      <c r="AK619" s="126"/>
      <c r="AL619" s="122"/>
      <c r="AM619" s="122"/>
      <c r="AN619" s="122"/>
      <c r="AO619" s="122"/>
      <c r="AP619" s="122"/>
      <c r="AQ619" s="124"/>
    </row>
    <row r="620" spans="1:43" ht="15.75" customHeight="1">
      <c r="A620" s="122"/>
      <c r="B620" s="122"/>
      <c r="C620" s="122"/>
      <c r="D620" s="122"/>
      <c r="E620" s="122"/>
      <c r="F620" s="122"/>
      <c r="G620" s="122"/>
      <c r="H620" s="122"/>
      <c r="I620" s="122"/>
      <c r="J620" s="122"/>
      <c r="K620" s="122"/>
      <c r="L620" s="122"/>
      <c r="M620" s="123"/>
      <c r="N620" s="123"/>
      <c r="O620" s="122"/>
      <c r="P620" s="124"/>
      <c r="Q620" s="122"/>
      <c r="R620" s="122"/>
      <c r="S620" s="122"/>
      <c r="T620" s="122"/>
      <c r="U620" s="122"/>
      <c r="V620" s="124"/>
      <c r="W620" s="125"/>
      <c r="X620" s="122"/>
      <c r="Y620" s="122"/>
      <c r="Z620" s="122"/>
      <c r="AA620" s="126"/>
      <c r="AB620" s="122"/>
      <c r="AC620" s="122"/>
      <c r="AD620" s="127"/>
      <c r="AE620" s="127"/>
      <c r="AF620" s="127"/>
      <c r="AG620" s="127"/>
      <c r="AH620" s="124"/>
      <c r="AI620" s="127"/>
      <c r="AJ620" s="127"/>
      <c r="AK620" s="126"/>
      <c r="AL620" s="122"/>
      <c r="AM620" s="122"/>
      <c r="AN620" s="122"/>
      <c r="AO620" s="122"/>
      <c r="AP620" s="122"/>
      <c r="AQ620" s="124"/>
    </row>
    <row r="621" spans="1:43" ht="15.75" customHeight="1">
      <c r="A621" s="122"/>
      <c r="B621" s="122"/>
      <c r="C621" s="122"/>
      <c r="D621" s="122"/>
      <c r="E621" s="122"/>
      <c r="F621" s="122"/>
      <c r="G621" s="122"/>
      <c r="H621" s="122"/>
      <c r="I621" s="122"/>
      <c r="J621" s="122"/>
      <c r="K621" s="122"/>
      <c r="L621" s="122"/>
      <c r="M621" s="123"/>
      <c r="N621" s="123"/>
      <c r="O621" s="122"/>
      <c r="P621" s="124"/>
      <c r="Q621" s="122"/>
      <c r="R621" s="122"/>
      <c r="S621" s="122"/>
      <c r="T621" s="122"/>
      <c r="U621" s="122"/>
      <c r="V621" s="124"/>
      <c r="W621" s="125"/>
      <c r="X621" s="122"/>
      <c r="Y621" s="122"/>
      <c r="Z621" s="122"/>
      <c r="AA621" s="126"/>
      <c r="AB621" s="122"/>
      <c r="AC621" s="122"/>
      <c r="AD621" s="127"/>
      <c r="AE621" s="127"/>
      <c r="AF621" s="127"/>
      <c r="AG621" s="127"/>
      <c r="AH621" s="124"/>
      <c r="AI621" s="127"/>
      <c r="AJ621" s="127"/>
      <c r="AK621" s="126"/>
      <c r="AL621" s="122"/>
      <c r="AM621" s="122"/>
      <c r="AN621" s="122"/>
      <c r="AO621" s="122"/>
      <c r="AP621" s="122"/>
      <c r="AQ621" s="124"/>
    </row>
    <row r="622" spans="1:43" ht="15.75" customHeight="1">
      <c r="A622" s="122"/>
      <c r="B622" s="122"/>
      <c r="C622" s="122"/>
      <c r="D622" s="122"/>
      <c r="E622" s="122"/>
      <c r="F622" s="122"/>
      <c r="G622" s="122"/>
      <c r="H622" s="122"/>
      <c r="I622" s="122"/>
      <c r="J622" s="122"/>
      <c r="K622" s="122"/>
      <c r="L622" s="122"/>
      <c r="M622" s="123"/>
      <c r="N622" s="123"/>
      <c r="O622" s="122"/>
      <c r="P622" s="124"/>
      <c r="Q622" s="122"/>
      <c r="R622" s="122"/>
      <c r="S622" s="122"/>
      <c r="T622" s="122"/>
      <c r="U622" s="122"/>
      <c r="V622" s="124"/>
      <c r="W622" s="125"/>
      <c r="X622" s="122"/>
      <c r="Y622" s="122"/>
      <c r="Z622" s="122"/>
      <c r="AA622" s="126"/>
      <c r="AB622" s="122"/>
      <c r="AC622" s="122"/>
      <c r="AD622" s="127"/>
      <c r="AE622" s="127"/>
      <c r="AF622" s="127"/>
      <c r="AG622" s="127"/>
      <c r="AH622" s="124"/>
      <c r="AI622" s="127"/>
      <c r="AJ622" s="127"/>
      <c r="AK622" s="126"/>
      <c r="AL622" s="122"/>
      <c r="AM622" s="122"/>
      <c r="AN622" s="122"/>
      <c r="AO622" s="122"/>
      <c r="AP622" s="122"/>
      <c r="AQ622" s="124"/>
    </row>
    <row r="623" spans="1:43" ht="15.75" customHeight="1">
      <c r="A623" s="122"/>
      <c r="B623" s="122"/>
      <c r="C623" s="122"/>
      <c r="D623" s="122"/>
      <c r="E623" s="122"/>
      <c r="F623" s="122"/>
      <c r="G623" s="122"/>
      <c r="H623" s="122"/>
      <c r="I623" s="122"/>
      <c r="J623" s="122"/>
      <c r="K623" s="122"/>
      <c r="L623" s="122"/>
      <c r="M623" s="123"/>
      <c r="N623" s="123"/>
      <c r="O623" s="122"/>
      <c r="P623" s="124"/>
      <c r="Q623" s="122"/>
      <c r="R623" s="122"/>
      <c r="S623" s="122"/>
      <c r="T623" s="122"/>
      <c r="U623" s="122"/>
      <c r="V623" s="124"/>
      <c r="W623" s="125"/>
      <c r="X623" s="122"/>
      <c r="Y623" s="122"/>
      <c r="Z623" s="122"/>
      <c r="AA623" s="126"/>
      <c r="AB623" s="122"/>
      <c r="AC623" s="122"/>
      <c r="AD623" s="127"/>
      <c r="AE623" s="127"/>
      <c r="AF623" s="127"/>
      <c r="AG623" s="127"/>
      <c r="AH623" s="124"/>
      <c r="AI623" s="127"/>
      <c r="AJ623" s="127"/>
      <c r="AK623" s="126"/>
      <c r="AL623" s="122"/>
      <c r="AM623" s="122"/>
      <c r="AN623" s="122"/>
      <c r="AO623" s="122"/>
      <c r="AP623" s="122"/>
      <c r="AQ623" s="124"/>
    </row>
    <row r="624" spans="1:43" ht="15.75" customHeight="1">
      <c r="A624" s="122"/>
      <c r="B624" s="122"/>
      <c r="C624" s="122"/>
      <c r="D624" s="122"/>
      <c r="E624" s="122"/>
      <c r="F624" s="122"/>
      <c r="G624" s="122"/>
      <c r="H624" s="122"/>
      <c r="I624" s="122"/>
      <c r="J624" s="122"/>
      <c r="K624" s="122"/>
      <c r="L624" s="122"/>
      <c r="M624" s="123"/>
      <c r="N624" s="123"/>
      <c r="O624" s="122"/>
      <c r="P624" s="124"/>
      <c r="Q624" s="122"/>
      <c r="R624" s="122"/>
      <c r="S624" s="122"/>
      <c r="T624" s="122"/>
      <c r="U624" s="122"/>
      <c r="V624" s="124"/>
      <c r="W624" s="125"/>
      <c r="X624" s="122"/>
      <c r="Y624" s="122"/>
      <c r="Z624" s="122"/>
      <c r="AA624" s="126"/>
      <c r="AB624" s="122"/>
      <c r="AC624" s="122"/>
      <c r="AD624" s="127"/>
      <c r="AE624" s="127"/>
      <c r="AF624" s="127"/>
      <c r="AG624" s="127"/>
      <c r="AH624" s="124"/>
      <c r="AI624" s="127"/>
      <c r="AJ624" s="127"/>
      <c r="AK624" s="126"/>
      <c r="AL624" s="122"/>
      <c r="AM624" s="122"/>
      <c r="AN624" s="122"/>
      <c r="AO624" s="122"/>
      <c r="AP624" s="122"/>
      <c r="AQ624" s="124"/>
    </row>
    <row r="625" spans="1:43" ht="15.75" customHeight="1">
      <c r="A625" s="122"/>
      <c r="B625" s="122"/>
      <c r="C625" s="122"/>
      <c r="D625" s="122"/>
      <c r="E625" s="122"/>
      <c r="F625" s="122"/>
      <c r="G625" s="122"/>
      <c r="H625" s="122"/>
      <c r="I625" s="122"/>
      <c r="J625" s="122"/>
      <c r="K625" s="122"/>
      <c r="L625" s="122"/>
      <c r="M625" s="123"/>
      <c r="N625" s="123"/>
      <c r="O625" s="122"/>
      <c r="P625" s="124"/>
      <c r="Q625" s="122"/>
      <c r="R625" s="122"/>
      <c r="S625" s="122"/>
      <c r="T625" s="122"/>
      <c r="U625" s="122"/>
      <c r="V625" s="124"/>
      <c r="W625" s="125"/>
      <c r="X625" s="122"/>
      <c r="Y625" s="122"/>
      <c r="Z625" s="122"/>
      <c r="AA625" s="126"/>
      <c r="AB625" s="122"/>
      <c r="AC625" s="122"/>
      <c r="AD625" s="127"/>
      <c r="AE625" s="127"/>
      <c r="AF625" s="127"/>
      <c r="AG625" s="127"/>
      <c r="AH625" s="124"/>
      <c r="AI625" s="127"/>
      <c r="AJ625" s="127"/>
      <c r="AK625" s="126"/>
      <c r="AL625" s="122"/>
      <c r="AM625" s="122"/>
      <c r="AN625" s="122"/>
      <c r="AO625" s="122"/>
      <c r="AP625" s="122"/>
      <c r="AQ625" s="124"/>
    </row>
    <row r="626" spans="1:43" ht="15.75" customHeight="1">
      <c r="A626" s="122"/>
      <c r="B626" s="122"/>
      <c r="C626" s="122"/>
      <c r="D626" s="122"/>
      <c r="E626" s="122"/>
      <c r="F626" s="122"/>
      <c r="G626" s="122"/>
      <c r="H626" s="122"/>
      <c r="I626" s="122"/>
      <c r="J626" s="122"/>
      <c r="K626" s="122"/>
      <c r="L626" s="122"/>
      <c r="M626" s="123"/>
      <c r="N626" s="123"/>
      <c r="O626" s="122"/>
      <c r="P626" s="124"/>
      <c r="Q626" s="122"/>
      <c r="R626" s="122"/>
      <c r="S626" s="122"/>
      <c r="T626" s="122"/>
      <c r="U626" s="122"/>
      <c r="V626" s="124"/>
      <c r="W626" s="125"/>
      <c r="X626" s="122"/>
      <c r="Y626" s="122"/>
      <c r="Z626" s="122"/>
      <c r="AA626" s="126"/>
      <c r="AB626" s="122"/>
      <c r="AC626" s="122"/>
      <c r="AD626" s="127"/>
      <c r="AE626" s="127"/>
      <c r="AF626" s="127"/>
      <c r="AG626" s="127"/>
      <c r="AH626" s="124"/>
      <c r="AI626" s="127"/>
      <c r="AJ626" s="127"/>
      <c r="AK626" s="126"/>
      <c r="AL626" s="122"/>
      <c r="AM626" s="122"/>
      <c r="AN626" s="122"/>
      <c r="AO626" s="122"/>
      <c r="AP626" s="122"/>
      <c r="AQ626" s="124"/>
    </row>
    <row r="627" spans="1:43" ht="15.75" customHeight="1">
      <c r="A627" s="122"/>
      <c r="B627" s="122"/>
      <c r="C627" s="122"/>
      <c r="D627" s="122"/>
      <c r="E627" s="122"/>
      <c r="F627" s="122"/>
      <c r="G627" s="122"/>
      <c r="H627" s="122"/>
      <c r="I627" s="122"/>
      <c r="J627" s="122"/>
      <c r="K627" s="122"/>
      <c r="L627" s="122"/>
      <c r="M627" s="123"/>
      <c r="N627" s="123"/>
      <c r="O627" s="122"/>
      <c r="P627" s="124"/>
      <c r="Q627" s="122"/>
      <c r="R627" s="122"/>
      <c r="S627" s="122"/>
      <c r="T627" s="122"/>
      <c r="U627" s="122"/>
      <c r="V627" s="124"/>
      <c r="W627" s="125"/>
      <c r="X627" s="122"/>
      <c r="Y627" s="122"/>
      <c r="Z627" s="122"/>
      <c r="AA627" s="126"/>
      <c r="AB627" s="122"/>
      <c r="AC627" s="122"/>
      <c r="AD627" s="127"/>
      <c r="AE627" s="127"/>
      <c r="AF627" s="127"/>
      <c r="AG627" s="127"/>
      <c r="AH627" s="124"/>
      <c r="AI627" s="127"/>
      <c r="AJ627" s="127"/>
      <c r="AK627" s="126"/>
      <c r="AL627" s="122"/>
      <c r="AM627" s="122"/>
      <c r="AN627" s="122"/>
      <c r="AO627" s="122"/>
      <c r="AP627" s="122"/>
      <c r="AQ627" s="124"/>
    </row>
    <row r="628" spans="1:43" ht="15.75" customHeight="1">
      <c r="A628" s="122"/>
      <c r="B628" s="122"/>
      <c r="C628" s="122"/>
      <c r="D628" s="122"/>
      <c r="E628" s="122"/>
      <c r="F628" s="122"/>
      <c r="G628" s="122"/>
      <c r="H628" s="122"/>
      <c r="I628" s="122"/>
      <c r="J628" s="122"/>
      <c r="K628" s="122"/>
      <c r="L628" s="122"/>
      <c r="M628" s="123"/>
      <c r="N628" s="123"/>
      <c r="O628" s="122"/>
      <c r="P628" s="124"/>
      <c r="Q628" s="122"/>
      <c r="R628" s="122"/>
      <c r="S628" s="122"/>
      <c r="T628" s="122"/>
      <c r="U628" s="122"/>
      <c r="V628" s="124"/>
      <c r="W628" s="125"/>
      <c r="X628" s="122"/>
      <c r="Y628" s="122"/>
      <c r="Z628" s="122"/>
      <c r="AA628" s="126"/>
      <c r="AB628" s="122"/>
      <c r="AC628" s="122"/>
      <c r="AD628" s="127"/>
      <c r="AE628" s="127"/>
      <c r="AF628" s="127"/>
      <c r="AG628" s="127"/>
      <c r="AH628" s="124"/>
      <c r="AI628" s="127"/>
      <c r="AJ628" s="127"/>
      <c r="AK628" s="126"/>
      <c r="AL628" s="122"/>
      <c r="AM628" s="122"/>
      <c r="AN628" s="122"/>
      <c r="AO628" s="122"/>
      <c r="AP628" s="122"/>
      <c r="AQ628" s="124"/>
    </row>
    <row r="629" spans="1:43" ht="15.75" customHeight="1">
      <c r="A629" s="122"/>
      <c r="B629" s="122"/>
      <c r="C629" s="122"/>
      <c r="D629" s="122"/>
      <c r="E629" s="122"/>
      <c r="F629" s="122"/>
      <c r="G629" s="122"/>
      <c r="H629" s="122"/>
      <c r="I629" s="122"/>
      <c r="J629" s="122"/>
      <c r="K629" s="122"/>
      <c r="L629" s="122"/>
      <c r="M629" s="123"/>
      <c r="N629" s="123"/>
      <c r="O629" s="122"/>
      <c r="P629" s="124"/>
      <c r="Q629" s="122"/>
      <c r="R629" s="122"/>
      <c r="S629" s="122"/>
      <c r="T629" s="122"/>
      <c r="U629" s="122"/>
      <c r="V629" s="124"/>
      <c r="W629" s="125"/>
      <c r="X629" s="122"/>
      <c r="Y629" s="122"/>
      <c r="Z629" s="122"/>
      <c r="AA629" s="126"/>
      <c r="AB629" s="122"/>
      <c r="AC629" s="122"/>
      <c r="AD629" s="127"/>
      <c r="AE629" s="127"/>
      <c r="AF629" s="127"/>
      <c r="AG629" s="127"/>
      <c r="AH629" s="124"/>
      <c r="AI629" s="127"/>
      <c r="AJ629" s="127"/>
      <c r="AK629" s="126"/>
      <c r="AL629" s="122"/>
      <c r="AM629" s="122"/>
      <c r="AN629" s="122"/>
      <c r="AO629" s="122"/>
      <c r="AP629" s="122"/>
      <c r="AQ629" s="124"/>
    </row>
    <row r="630" spans="1:43" ht="15.75" customHeight="1">
      <c r="A630" s="122"/>
      <c r="B630" s="122"/>
      <c r="C630" s="122"/>
      <c r="D630" s="122"/>
      <c r="E630" s="122"/>
      <c r="F630" s="122"/>
      <c r="G630" s="122"/>
      <c r="H630" s="122"/>
      <c r="I630" s="122"/>
      <c r="J630" s="122"/>
      <c r="K630" s="122"/>
      <c r="L630" s="122"/>
      <c r="M630" s="123"/>
      <c r="N630" s="123"/>
      <c r="O630" s="122"/>
      <c r="P630" s="124"/>
      <c r="Q630" s="122"/>
      <c r="R630" s="122"/>
      <c r="S630" s="122"/>
      <c r="T630" s="122"/>
      <c r="U630" s="122"/>
      <c r="V630" s="124"/>
      <c r="W630" s="125"/>
      <c r="X630" s="122"/>
      <c r="Y630" s="122"/>
      <c r="Z630" s="122"/>
      <c r="AA630" s="126"/>
      <c r="AB630" s="122"/>
      <c r="AC630" s="122"/>
      <c r="AD630" s="127"/>
      <c r="AE630" s="127"/>
      <c r="AF630" s="127"/>
      <c r="AG630" s="127"/>
      <c r="AH630" s="124"/>
      <c r="AI630" s="127"/>
      <c r="AJ630" s="127"/>
      <c r="AK630" s="126"/>
      <c r="AL630" s="122"/>
      <c r="AM630" s="122"/>
      <c r="AN630" s="122"/>
      <c r="AO630" s="122"/>
      <c r="AP630" s="122"/>
      <c r="AQ630" s="124"/>
    </row>
    <row r="631" spans="1:43" ht="15.75" customHeight="1">
      <c r="A631" s="122"/>
      <c r="B631" s="122"/>
      <c r="C631" s="122"/>
      <c r="D631" s="122"/>
      <c r="E631" s="122"/>
      <c r="F631" s="122"/>
      <c r="G631" s="122"/>
      <c r="H631" s="122"/>
      <c r="I631" s="122"/>
      <c r="J631" s="122"/>
      <c r="K631" s="122"/>
      <c r="L631" s="122"/>
      <c r="M631" s="123"/>
      <c r="N631" s="123"/>
      <c r="O631" s="122"/>
      <c r="P631" s="124"/>
      <c r="Q631" s="122"/>
      <c r="R631" s="122"/>
      <c r="S631" s="122"/>
      <c r="T631" s="122"/>
      <c r="U631" s="122"/>
      <c r="V631" s="124"/>
      <c r="W631" s="125"/>
      <c r="X631" s="122"/>
      <c r="Y631" s="122"/>
      <c r="Z631" s="122"/>
      <c r="AA631" s="126"/>
      <c r="AB631" s="122"/>
      <c r="AC631" s="122"/>
      <c r="AD631" s="127"/>
      <c r="AE631" s="127"/>
      <c r="AF631" s="127"/>
      <c r="AG631" s="127"/>
      <c r="AH631" s="124"/>
      <c r="AI631" s="127"/>
      <c r="AJ631" s="127"/>
      <c r="AK631" s="126"/>
      <c r="AL631" s="122"/>
      <c r="AM631" s="122"/>
      <c r="AN631" s="122"/>
      <c r="AO631" s="122"/>
      <c r="AP631" s="122"/>
      <c r="AQ631" s="124"/>
    </row>
    <row r="632" spans="1:43" ht="15.75" customHeight="1">
      <c r="A632" s="122"/>
      <c r="B632" s="122"/>
      <c r="C632" s="122"/>
      <c r="D632" s="122"/>
      <c r="E632" s="122"/>
      <c r="F632" s="122"/>
      <c r="G632" s="122"/>
      <c r="H632" s="122"/>
      <c r="I632" s="122"/>
      <c r="J632" s="122"/>
      <c r="K632" s="122"/>
      <c r="L632" s="122"/>
      <c r="M632" s="123"/>
      <c r="N632" s="123"/>
      <c r="O632" s="122"/>
      <c r="P632" s="124"/>
      <c r="Q632" s="122"/>
      <c r="R632" s="122"/>
      <c r="S632" s="122"/>
      <c r="T632" s="122"/>
      <c r="U632" s="122"/>
      <c r="V632" s="124"/>
      <c r="W632" s="125"/>
      <c r="X632" s="122"/>
      <c r="Y632" s="122"/>
      <c r="Z632" s="122"/>
      <c r="AA632" s="126"/>
      <c r="AB632" s="122"/>
      <c r="AC632" s="122"/>
      <c r="AD632" s="127"/>
      <c r="AE632" s="127"/>
      <c r="AF632" s="127"/>
      <c r="AG632" s="127"/>
      <c r="AH632" s="124"/>
      <c r="AI632" s="127"/>
      <c r="AJ632" s="127"/>
      <c r="AK632" s="126"/>
      <c r="AL632" s="122"/>
      <c r="AM632" s="122"/>
      <c r="AN632" s="122"/>
      <c r="AO632" s="122"/>
      <c r="AP632" s="122"/>
      <c r="AQ632" s="124"/>
    </row>
    <row r="633" spans="1:43" ht="15.75" customHeight="1">
      <c r="A633" s="122"/>
      <c r="B633" s="122"/>
      <c r="C633" s="122"/>
      <c r="D633" s="122"/>
      <c r="E633" s="122"/>
      <c r="F633" s="122"/>
      <c r="G633" s="122"/>
      <c r="H633" s="122"/>
      <c r="I633" s="122"/>
      <c r="J633" s="122"/>
      <c r="K633" s="122"/>
      <c r="L633" s="122"/>
      <c r="M633" s="123"/>
      <c r="N633" s="123"/>
      <c r="O633" s="122"/>
      <c r="P633" s="124"/>
      <c r="Q633" s="122"/>
      <c r="R633" s="122"/>
      <c r="S633" s="122"/>
      <c r="T633" s="122"/>
      <c r="U633" s="122"/>
      <c r="V633" s="124"/>
      <c r="W633" s="125"/>
      <c r="X633" s="122"/>
      <c r="Y633" s="122"/>
      <c r="Z633" s="122"/>
      <c r="AA633" s="126"/>
      <c r="AB633" s="122"/>
      <c r="AC633" s="122"/>
      <c r="AD633" s="127"/>
      <c r="AE633" s="127"/>
      <c r="AF633" s="127"/>
      <c r="AG633" s="127"/>
      <c r="AH633" s="124"/>
      <c r="AI633" s="127"/>
      <c r="AJ633" s="127"/>
      <c r="AK633" s="126"/>
      <c r="AL633" s="122"/>
      <c r="AM633" s="122"/>
      <c r="AN633" s="122"/>
      <c r="AO633" s="122"/>
      <c r="AP633" s="122"/>
      <c r="AQ633" s="124"/>
    </row>
    <row r="634" spans="1:43" ht="15.75" customHeight="1">
      <c r="A634" s="122"/>
      <c r="B634" s="122"/>
      <c r="C634" s="122"/>
      <c r="D634" s="122"/>
      <c r="E634" s="122"/>
      <c r="F634" s="122"/>
      <c r="G634" s="122"/>
      <c r="H634" s="122"/>
      <c r="I634" s="122"/>
      <c r="J634" s="122"/>
      <c r="K634" s="122"/>
      <c r="L634" s="122"/>
      <c r="M634" s="123"/>
      <c r="N634" s="123"/>
      <c r="O634" s="122"/>
      <c r="P634" s="124"/>
      <c r="Q634" s="122"/>
      <c r="R634" s="122"/>
      <c r="S634" s="122"/>
      <c r="T634" s="122"/>
      <c r="U634" s="122"/>
      <c r="V634" s="124"/>
      <c r="W634" s="125"/>
      <c r="X634" s="122"/>
      <c r="Y634" s="122"/>
      <c r="Z634" s="122"/>
      <c r="AA634" s="126"/>
      <c r="AB634" s="122"/>
      <c r="AC634" s="122"/>
      <c r="AD634" s="127"/>
      <c r="AE634" s="127"/>
      <c r="AF634" s="127"/>
      <c r="AG634" s="127"/>
      <c r="AH634" s="124"/>
      <c r="AI634" s="127"/>
      <c r="AJ634" s="127"/>
      <c r="AK634" s="126"/>
      <c r="AL634" s="122"/>
      <c r="AM634" s="122"/>
      <c r="AN634" s="122"/>
      <c r="AO634" s="122"/>
      <c r="AP634" s="122"/>
      <c r="AQ634" s="124"/>
    </row>
    <row r="635" spans="1:43" ht="15.75" customHeight="1">
      <c r="A635" s="122"/>
      <c r="B635" s="122"/>
      <c r="C635" s="122"/>
      <c r="D635" s="122"/>
      <c r="E635" s="122"/>
      <c r="F635" s="122"/>
      <c r="G635" s="122"/>
      <c r="H635" s="122"/>
      <c r="I635" s="122"/>
      <c r="J635" s="122"/>
      <c r="K635" s="122"/>
      <c r="L635" s="122"/>
      <c r="M635" s="123"/>
      <c r="N635" s="123"/>
      <c r="O635" s="122"/>
      <c r="P635" s="124"/>
      <c r="Q635" s="122"/>
      <c r="R635" s="122"/>
      <c r="S635" s="122"/>
      <c r="T635" s="122"/>
      <c r="U635" s="122"/>
      <c r="V635" s="124"/>
      <c r="W635" s="125"/>
      <c r="X635" s="122"/>
      <c r="Y635" s="122"/>
      <c r="Z635" s="122"/>
      <c r="AA635" s="126"/>
      <c r="AB635" s="122"/>
      <c r="AC635" s="122"/>
      <c r="AD635" s="127"/>
      <c r="AE635" s="127"/>
      <c r="AF635" s="127"/>
      <c r="AG635" s="127"/>
      <c r="AH635" s="124"/>
      <c r="AI635" s="127"/>
      <c r="AJ635" s="127"/>
      <c r="AK635" s="126"/>
      <c r="AL635" s="122"/>
      <c r="AM635" s="122"/>
      <c r="AN635" s="122"/>
      <c r="AO635" s="122"/>
      <c r="AP635" s="122"/>
      <c r="AQ635" s="124"/>
    </row>
    <row r="636" spans="1:43" ht="15.75" customHeight="1">
      <c r="A636" s="122"/>
      <c r="B636" s="122"/>
      <c r="C636" s="122"/>
      <c r="D636" s="122"/>
      <c r="E636" s="122"/>
      <c r="F636" s="122"/>
      <c r="G636" s="122"/>
      <c r="H636" s="122"/>
      <c r="I636" s="122"/>
      <c r="J636" s="122"/>
      <c r="K636" s="122"/>
      <c r="L636" s="122"/>
      <c r="M636" s="123"/>
      <c r="N636" s="123"/>
      <c r="O636" s="122"/>
      <c r="P636" s="124"/>
      <c r="Q636" s="122"/>
      <c r="R636" s="122"/>
      <c r="S636" s="122"/>
      <c r="T636" s="122"/>
      <c r="U636" s="122"/>
      <c r="V636" s="124"/>
      <c r="W636" s="125"/>
      <c r="X636" s="122"/>
      <c r="Y636" s="122"/>
      <c r="Z636" s="122"/>
      <c r="AA636" s="126"/>
      <c r="AB636" s="122"/>
      <c r="AC636" s="122"/>
      <c r="AD636" s="127"/>
      <c r="AE636" s="127"/>
      <c r="AF636" s="127"/>
      <c r="AG636" s="127"/>
      <c r="AH636" s="124"/>
      <c r="AI636" s="127"/>
      <c r="AJ636" s="127"/>
      <c r="AK636" s="126"/>
      <c r="AL636" s="122"/>
      <c r="AM636" s="122"/>
      <c r="AN636" s="122"/>
      <c r="AO636" s="122"/>
      <c r="AP636" s="122"/>
      <c r="AQ636" s="124"/>
    </row>
    <row r="637" spans="1:43" ht="15.75" customHeight="1">
      <c r="A637" s="122"/>
      <c r="B637" s="122"/>
      <c r="C637" s="122"/>
      <c r="D637" s="122"/>
      <c r="E637" s="122"/>
      <c r="F637" s="122"/>
      <c r="G637" s="122"/>
      <c r="H637" s="122"/>
      <c r="I637" s="122"/>
      <c r="J637" s="122"/>
      <c r="K637" s="122"/>
      <c r="L637" s="122"/>
      <c r="M637" s="123"/>
      <c r="N637" s="123"/>
      <c r="O637" s="122"/>
      <c r="P637" s="124"/>
      <c r="Q637" s="122"/>
      <c r="R637" s="122"/>
      <c r="S637" s="122"/>
      <c r="T637" s="122"/>
      <c r="U637" s="122"/>
      <c r="V637" s="124"/>
      <c r="W637" s="125"/>
      <c r="X637" s="122"/>
      <c r="Y637" s="122"/>
      <c r="Z637" s="122"/>
      <c r="AA637" s="126"/>
      <c r="AB637" s="122"/>
      <c r="AC637" s="122"/>
      <c r="AD637" s="127"/>
      <c r="AE637" s="127"/>
      <c r="AF637" s="127"/>
      <c r="AG637" s="127"/>
      <c r="AH637" s="124"/>
      <c r="AI637" s="127"/>
      <c r="AJ637" s="127"/>
      <c r="AK637" s="126"/>
      <c r="AL637" s="122"/>
      <c r="AM637" s="122"/>
      <c r="AN637" s="122"/>
      <c r="AO637" s="122"/>
      <c r="AP637" s="122"/>
      <c r="AQ637" s="124"/>
    </row>
    <row r="638" spans="1:43" ht="15.75" customHeight="1">
      <c r="A638" s="122"/>
      <c r="B638" s="122"/>
      <c r="C638" s="122"/>
      <c r="D638" s="122"/>
      <c r="E638" s="122"/>
      <c r="F638" s="122"/>
      <c r="G638" s="122"/>
      <c r="H638" s="122"/>
      <c r="I638" s="122"/>
      <c r="J638" s="122"/>
      <c r="K638" s="122"/>
      <c r="L638" s="122"/>
      <c r="M638" s="123"/>
      <c r="N638" s="123"/>
      <c r="O638" s="122"/>
      <c r="P638" s="124"/>
      <c r="Q638" s="122"/>
      <c r="R638" s="122"/>
      <c r="S638" s="122"/>
      <c r="T638" s="122"/>
      <c r="U638" s="122"/>
      <c r="V638" s="124"/>
      <c r="W638" s="125"/>
      <c r="X638" s="122"/>
      <c r="Y638" s="122"/>
      <c r="Z638" s="122"/>
      <c r="AA638" s="126"/>
      <c r="AB638" s="122"/>
      <c r="AC638" s="122"/>
      <c r="AD638" s="127"/>
      <c r="AE638" s="127"/>
      <c r="AF638" s="127"/>
      <c r="AG638" s="127"/>
      <c r="AH638" s="124"/>
      <c r="AI638" s="127"/>
      <c r="AJ638" s="127"/>
      <c r="AK638" s="126"/>
      <c r="AL638" s="122"/>
      <c r="AM638" s="122"/>
      <c r="AN638" s="122"/>
      <c r="AO638" s="122"/>
      <c r="AP638" s="122"/>
      <c r="AQ638" s="124"/>
    </row>
    <row r="639" spans="1:43" ht="15.75" customHeight="1">
      <c r="A639" s="122"/>
      <c r="B639" s="122"/>
      <c r="C639" s="122"/>
      <c r="D639" s="122"/>
      <c r="E639" s="122"/>
      <c r="F639" s="122"/>
      <c r="G639" s="122"/>
      <c r="H639" s="122"/>
      <c r="I639" s="122"/>
      <c r="J639" s="122"/>
      <c r="K639" s="122"/>
      <c r="L639" s="122"/>
      <c r="M639" s="123"/>
      <c r="N639" s="123"/>
      <c r="O639" s="122"/>
      <c r="P639" s="124"/>
      <c r="Q639" s="122"/>
      <c r="R639" s="122"/>
      <c r="S639" s="122"/>
      <c r="T639" s="122"/>
      <c r="U639" s="122"/>
      <c r="V639" s="124"/>
      <c r="W639" s="125"/>
      <c r="X639" s="122"/>
      <c r="Y639" s="122"/>
      <c r="Z639" s="122"/>
      <c r="AA639" s="126"/>
      <c r="AB639" s="122"/>
      <c r="AC639" s="122"/>
      <c r="AD639" s="127"/>
      <c r="AE639" s="127"/>
      <c r="AF639" s="127"/>
      <c r="AG639" s="127"/>
      <c r="AH639" s="124"/>
      <c r="AI639" s="127"/>
      <c r="AJ639" s="127"/>
      <c r="AK639" s="126"/>
      <c r="AL639" s="122"/>
      <c r="AM639" s="122"/>
      <c r="AN639" s="122"/>
      <c r="AO639" s="122"/>
      <c r="AP639" s="122"/>
      <c r="AQ639" s="124"/>
    </row>
    <row r="640" spans="1:43" ht="15.75" customHeight="1">
      <c r="A640" s="122"/>
      <c r="B640" s="122"/>
      <c r="C640" s="122"/>
      <c r="D640" s="122"/>
      <c r="E640" s="122"/>
      <c r="F640" s="122"/>
      <c r="G640" s="122"/>
      <c r="H640" s="122"/>
      <c r="I640" s="122"/>
      <c r="J640" s="122"/>
      <c r="K640" s="122"/>
      <c r="L640" s="122"/>
      <c r="M640" s="123"/>
      <c r="N640" s="123"/>
      <c r="O640" s="122"/>
      <c r="P640" s="124"/>
      <c r="Q640" s="122"/>
      <c r="R640" s="122"/>
      <c r="S640" s="122"/>
      <c r="T640" s="122"/>
      <c r="U640" s="122"/>
      <c r="V640" s="124"/>
      <c r="W640" s="125"/>
      <c r="X640" s="122"/>
      <c r="Y640" s="122"/>
      <c r="Z640" s="122"/>
      <c r="AA640" s="126"/>
      <c r="AB640" s="122"/>
      <c r="AC640" s="122"/>
      <c r="AD640" s="127"/>
      <c r="AE640" s="127"/>
      <c r="AF640" s="127"/>
      <c r="AG640" s="127"/>
      <c r="AH640" s="124"/>
      <c r="AI640" s="127"/>
      <c r="AJ640" s="127"/>
      <c r="AK640" s="126"/>
      <c r="AL640" s="122"/>
      <c r="AM640" s="122"/>
      <c r="AN640" s="122"/>
      <c r="AO640" s="122"/>
      <c r="AP640" s="122"/>
      <c r="AQ640" s="124"/>
    </row>
    <row r="641" spans="1:43" ht="15.75" customHeight="1">
      <c r="A641" s="122"/>
      <c r="B641" s="122"/>
      <c r="C641" s="122"/>
      <c r="D641" s="122"/>
      <c r="E641" s="122"/>
      <c r="F641" s="122"/>
      <c r="G641" s="122"/>
      <c r="H641" s="122"/>
      <c r="I641" s="122"/>
      <c r="J641" s="122"/>
      <c r="K641" s="122"/>
      <c r="L641" s="122"/>
      <c r="M641" s="123"/>
      <c r="N641" s="123"/>
      <c r="O641" s="122"/>
      <c r="P641" s="124"/>
      <c r="Q641" s="122"/>
      <c r="R641" s="122"/>
      <c r="S641" s="122"/>
      <c r="T641" s="122"/>
      <c r="U641" s="122"/>
      <c r="V641" s="124"/>
      <c r="W641" s="125"/>
      <c r="X641" s="122"/>
      <c r="Y641" s="122"/>
      <c r="Z641" s="122"/>
      <c r="AA641" s="126"/>
      <c r="AB641" s="122"/>
      <c r="AC641" s="122"/>
      <c r="AD641" s="127"/>
      <c r="AE641" s="127"/>
      <c r="AF641" s="127"/>
      <c r="AG641" s="127"/>
      <c r="AH641" s="124"/>
      <c r="AI641" s="127"/>
      <c r="AJ641" s="127"/>
      <c r="AK641" s="126"/>
      <c r="AL641" s="122"/>
      <c r="AM641" s="122"/>
      <c r="AN641" s="122"/>
      <c r="AO641" s="122"/>
      <c r="AP641" s="122"/>
      <c r="AQ641" s="124"/>
    </row>
    <row r="642" spans="1:43" ht="15.75" customHeight="1">
      <c r="A642" s="122"/>
      <c r="B642" s="122"/>
      <c r="C642" s="122"/>
      <c r="D642" s="122"/>
      <c r="E642" s="122"/>
      <c r="F642" s="122"/>
      <c r="G642" s="122"/>
      <c r="H642" s="122"/>
      <c r="I642" s="122"/>
      <c r="J642" s="122"/>
      <c r="K642" s="122"/>
      <c r="L642" s="122"/>
      <c r="M642" s="123"/>
      <c r="N642" s="123"/>
      <c r="O642" s="122"/>
      <c r="P642" s="124"/>
      <c r="Q642" s="122"/>
      <c r="R642" s="122"/>
      <c r="S642" s="122"/>
      <c r="T642" s="122"/>
      <c r="U642" s="122"/>
      <c r="V642" s="124"/>
      <c r="W642" s="125"/>
      <c r="X642" s="122"/>
      <c r="Y642" s="122"/>
      <c r="Z642" s="122"/>
      <c r="AA642" s="126"/>
      <c r="AB642" s="122"/>
      <c r="AC642" s="122"/>
      <c r="AD642" s="127"/>
      <c r="AE642" s="127"/>
      <c r="AF642" s="127"/>
      <c r="AG642" s="127"/>
      <c r="AH642" s="124"/>
      <c r="AI642" s="127"/>
      <c r="AJ642" s="127"/>
      <c r="AK642" s="126"/>
      <c r="AL642" s="122"/>
      <c r="AM642" s="122"/>
      <c r="AN642" s="122"/>
      <c r="AO642" s="122"/>
      <c r="AP642" s="122"/>
      <c r="AQ642" s="124"/>
    </row>
    <row r="643" spans="1:43" ht="15.75" customHeight="1">
      <c r="A643" s="122"/>
      <c r="B643" s="122"/>
      <c r="C643" s="122"/>
      <c r="D643" s="122"/>
      <c r="E643" s="122"/>
      <c r="F643" s="122"/>
      <c r="G643" s="122"/>
      <c r="H643" s="122"/>
      <c r="I643" s="122"/>
      <c r="J643" s="122"/>
      <c r="K643" s="122"/>
      <c r="L643" s="122"/>
      <c r="M643" s="123"/>
      <c r="N643" s="123"/>
      <c r="O643" s="122"/>
      <c r="P643" s="124"/>
      <c r="Q643" s="122"/>
      <c r="R643" s="122"/>
      <c r="S643" s="122"/>
      <c r="T643" s="122"/>
      <c r="U643" s="122"/>
      <c r="V643" s="124"/>
      <c r="W643" s="125"/>
      <c r="X643" s="122"/>
      <c r="Y643" s="122"/>
      <c r="Z643" s="122"/>
      <c r="AA643" s="126"/>
      <c r="AB643" s="122"/>
      <c r="AC643" s="122"/>
      <c r="AD643" s="127"/>
      <c r="AE643" s="127"/>
      <c r="AF643" s="127"/>
      <c r="AG643" s="127"/>
      <c r="AH643" s="124"/>
      <c r="AI643" s="127"/>
      <c r="AJ643" s="127"/>
      <c r="AK643" s="126"/>
      <c r="AL643" s="122"/>
      <c r="AM643" s="122"/>
      <c r="AN643" s="122"/>
      <c r="AO643" s="122"/>
      <c r="AP643" s="122"/>
      <c r="AQ643" s="124"/>
    </row>
    <row r="644" spans="1:43" ht="15.75" customHeight="1">
      <c r="A644" s="122"/>
      <c r="B644" s="122"/>
      <c r="C644" s="122"/>
      <c r="D644" s="122"/>
      <c r="E644" s="122"/>
      <c r="F644" s="122"/>
      <c r="G644" s="122"/>
      <c r="H644" s="122"/>
      <c r="I644" s="122"/>
      <c r="J644" s="122"/>
      <c r="K644" s="122"/>
      <c r="L644" s="122"/>
      <c r="M644" s="123"/>
      <c r="N644" s="123"/>
      <c r="O644" s="122"/>
      <c r="P644" s="124"/>
      <c r="Q644" s="122"/>
      <c r="R644" s="122"/>
      <c r="S644" s="122"/>
      <c r="T644" s="122"/>
      <c r="U644" s="122"/>
      <c r="V644" s="124"/>
      <c r="W644" s="125"/>
      <c r="X644" s="122"/>
      <c r="Y644" s="122"/>
      <c r="Z644" s="122"/>
      <c r="AA644" s="126"/>
      <c r="AB644" s="122"/>
      <c r="AC644" s="122"/>
      <c r="AD644" s="127"/>
      <c r="AE644" s="127"/>
      <c r="AF644" s="127"/>
      <c r="AG644" s="127"/>
      <c r="AH644" s="124"/>
      <c r="AI644" s="127"/>
      <c r="AJ644" s="127"/>
      <c r="AK644" s="126"/>
      <c r="AL644" s="122"/>
      <c r="AM644" s="122"/>
      <c r="AN644" s="122"/>
      <c r="AO644" s="122"/>
      <c r="AP644" s="122"/>
      <c r="AQ644" s="124"/>
    </row>
    <row r="645" spans="1:43" ht="15.75" customHeight="1">
      <c r="A645" s="122"/>
      <c r="B645" s="122"/>
      <c r="C645" s="122"/>
      <c r="D645" s="122"/>
      <c r="E645" s="122"/>
      <c r="F645" s="122"/>
      <c r="G645" s="122"/>
      <c r="H645" s="122"/>
      <c r="I645" s="122"/>
      <c r="J645" s="122"/>
      <c r="K645" s="122"/>
      <c r="L645" s="122"/>
      <c r="M645" s="123"/>
      <c r="N645" s="123"/>
      <c r="O645" s="122"/>
      <c r="P645" s="124"/>
      <c r="Q645" s="122"/>
      <c r="R645" s="122"/>
      <c r="S645" s="122"/>
      <c r="T645" s="122"/>
      <c r="U645" s="122"/>
      <c r="V645" s="124"/>
      <c r="W645" s="125"/>
      <c r="X645" s="122"/>
      <c r="Y645" s="122"/>
      <c r="Z645" s="122"/>
      <c r="AA645" s="126"/>
      <c r="AB645" s="122"/>
      <c r="AC645" s="122"/>
      <c r="AD645" s="127"/>
      <c r="AE645" s="127"/>
      <c r="AF645" s="127"/>
      <c r="AG645" s="127"/>
      <c r="AH645" s="124"/>
      <c r="AI645" s="127"/>
      <c r="AJ645" s="127"/>
      <c r="AK645" s="126"/>
      <c r="AL645" s="122"/>
      <c r="AM645" s="122"/>
      <c r="AN645" s="122"/>
      <c r="AO645" s="122"/>
      <c r="AP645" s="122"/>
      <c r="AQ645" s="124"/>
    </row>
    <row r="646" spans="1:43" ht="15.75" customHeight="1">
      <c r="A646" s="122"/>
      <c r="B646" s="122"/>
      <c r="C646" s="122"/>
      <c r="D646" s="122"/>
      <c r="E646" s="122"/>
      <c r="F646" s="122"/>
      <c r="G646" s="122"/>
      <c r="H646" s="122"/>
      <c r="I646" s="122"/>
      <c r="J646" s="122"/>
      <c r="K646" s="122"/>
      <c r="L646" s="122"/>
      <c r="M646" s="123"/>
      <c r="N646" s="123"/>
      <c r="O646" s="122"/>
      <c r="P646" s="124"/>
      <c r="Q646" s="122"/>
      <c r="R646" s="122"/>
      <c r="S646" s="122"/>
      <c r="T646" s="122"/>
      <c r="U646" s="122"/>
      <c r="V646" s="124"/>
      <c r="W646" s="125"/>
      <c r="X646" s="122"/>
      <c r="Y646" s="122"/>
      <c r="Z646" s="122"/>
      <c r="AA646" s="126"/>
      <c r="AB646" s="122"/>
      <c r="AC646" s="122"/>
      <c r="AD646" s="127"/>
      <c r="AE646" s="127"/>
      <c r="AF646" s="127"/>
      <c r="AG646" s="127"/>
      <c r="AH646" s="124"/>
      <c r="AI646" s="127"/>
      <c r="AJ646" s="127"/>
      <c r="AK646" s="126"/>
      <c r="AL646" s="122"/>
      <c r="AM646" s="122"/>
      <c r="AN646" s="122"/>
      <c r="AO646" s="122"/>
      <c r="AP646" s="122"/>
      <c r="AQ646" s="124"/>
    </row>
    <row r="647" spans="1:43" ht="15.75" customHeight="1">
      <c r="A647" s="122"/>
      <c r="B647" s="122"/>
      <c r="C647" s="122"/>
      <c r="D647" s="122"/>
      <c r="E647" s="122"/>
      <c r="F647" s="122"/>
      <c r="G647" s="122"/>
      <c r="H647" s="122"/>
      <c r="I647" s="122"/>
      <c r="J647" s="122"/>
      <c r="K647" s="122"/>
      <c r="L647" s="122"/>
      <c r="M647" s="123"/>
      <c r="N647" s="123"/>
      <c r="O647" s="122"/>
      <c r="P647" s="124"/>
      <c r="Q647" s="122"/>
      <c r="R647" s="122"/>
      <c r="S647" s="122"/>
      <c r="T647" s="122"/>
      <c r="U647" s="122"/>
      <c r="V647" s="124"/>
      <c r="W647" s="125"/>
      <c r="X647" s="122"/>
      <c r="Y647" s="122"/>
      <c r="Z647" s="122"/>
      <c r="AA647" s="126"/>
      <c r="AB647" s="122"/>
      <c r="AC647" s="122"/>
      <c r="AD647" s="127"/>
      <c r="AE647" s="127"/>
      <c r="AF647" s="127"/>
      <c r="AG647" s="127"/>
      <c r="AH647" s="124"/>
      <c r="AI647" s="127"/>
      <c r="AJ647" s="127"/>
      <c r="AK647" s="126"/>
      <c r="AL647" s="122"/>
      <c r="AM647" s="122"/>
      <c r="AN647" s="122"/>
      <c r="AO647" s="122"/>
      <c r="AP647" s="122"/>
      <c r="AQ647" s="124"/>
    </row>
    <row r="648" spans="1:43" ht="15.75" customHeight="1">
      <c r="A648" s="122"/>
      <c r="B648" s="122"/>
      <c r="C648" s="122"/>
      <c r="D648" s="122"/>
      <c r="E648" s="122"/>
      <c r="F648" s="122"/>
      <c r="G648" s="122"/>
      <c r="H648" s="122"/>
      <c r="I648" s="122"/>
      <c r="J648" s="122"/>
      <c r="K648" s="122"/>
      <c r="L648" s="122"/>
      <c r="M648" s="123"/>
      <c r="N648" s="123"/>
      <c r="O648" s="122"/>
      <c r="P648" s="124"/>
      <c r="Q648" s="122"/>
      <c r="R648" s="122"/>
      <c r="S648" s="122"/>
      <c r="T648" s="122"/>
      <c r="U648" s="122"/>
      <c r="V648" s="124"/>
      <c r="W648" s="125"/>
      <c r="X648" s="122"/>
      <c r="Y648" s="122"/>
      <c r="Z648" s="122"/>
      <c r="AA648" s="126"/>
      <c r="AB648" s="122"/>
      <c r="AC648" s="122"/>
      <c r="AD648" s="127"/>
      <c r="AE648" s="127"/>
      <c r="AF648" s="127"/>
      <c r="AG648" s="127"/>
      <c r="AH648" s="124"/>
      <c r="AI648" s="127"/>
      <c r="AJ648" s="127"/>
      <c r="AK648" s="126"/>
      <c r="AL648" s="122"/>
      <c r="AM648" s="122"/>
      <c r="AN648" s="122"/>
      <c r="AO648" s="122"/>
      <c r="AP648" s="122"/>
      <c r="AQ648" s="124"/>
    </row>
    <row r="649" spans="1:43" ht="15.75" customHeight="1">
      <c r="A649" s="122"/>
      <c r="B649" s="122"/>
      <c r="C649" s="122"/>
      <c r="D649" s="122"/>
      <c r="E649" s="122"/>
      <c r="F649" s="122"/>
      <c r="G649" s="122"/>
      <c r="H649" s="122"/>
      <c r="I649" s="122"/>
      <c r="J649" s="122"/>
      <c r="K649" s="122"/>
      <c r="L649" s="122"/>
      <c r="M649" s="123"/>
      <c r="N649" s="123"/>
      <c r="O649" s="122"/>
      <c r="P649" s="124"/>
      <c r="Q649" s="122"/>
      <c r="R649" s="122"/>
      <c r="S649" s="122"/>
      <c r="T649" s="122"/>
      <c r="U649" s="122"/>
      <c r="V649" s="124"/>
      <c r="W649" s="125"/>
      <c r="X649" s="122"/>
      <c r="Y649" s="122"/>
      <c r="Z649" s="122"/>
      <c r="AA649" s="126"/>
      <c r="AB649" s="122"/>
      <c r="AC649" s="122"/>
      <c r="AD649" s="127"/>
      <c r="AE649" s="127"/>
      <c r="AF649" s="127"/>
      <c r="AG649" s="127"/>
      <c r="AH649" s="124"/>
      <c r="AI649" s="127"/>
      <c r="AJ649" s="127"/>
      <c r="AK649" s="126"/>
      <c r="AL649" s="122"/>
      <c r="AM649" s="122"/>
      <c r="AN649" s="122"/>
      <c r="AO649" s="122"/>
      <c r="AP649" s="122"/>
      <c r="AQ649" s="124"/>
    </row>
    <row r="650" spans="1:43" ht="15.75" customHeight="1">
      <c r="A650" s="122"/>
      <c r="B650" s="122"/>
      <c r="C650" s="122"/>
      <c r="D650" s="122"/>
      <c r="E650" s="122"/>
      <c r="F650" s="122"/>
      <c r="G650" s="122"/>
      <c r="H650" s="122"/>
      <c r="I650" s="122"/>
      <c r="J650" s="122"/>
      <c r="K650" s="122"/>
      <c r="L650" s="122"/>
      <c r="M650" s="123"/>
      <c r="N650" s="123"/>
      <c r="O650" s="122"/>
      <c r="P650" s="124"/>
      <c r="Q650" s="122"/>
      <c r="R650" s="122"/>
      <c r="S650" s="122"/>
      <c r="T650" s="122"/>
      <c r="U650" s="122"/>
      <c r="V650" s="124"/>
      <c r="W650" s="125"/>
      <c r="X650" s="122"/>
      <c r="Y650" s="122"/>
      <c r="Z650" s="122"/>
      <c r="AA650" s="126"/>
      <c r="AB650" s="122"/>
      <c r="AC650" s="122"/>
      <c r="AD650" s="127"/>
      <c r="AE650" s="127"/>
      <c r="AF650" s="127"/>
      <c r="AG650" s="127"/>
      <c r="AH650" s="124"/>
      <c r="AI650" s="127"/>
      <c r="AJ650" s="127"/>
      <c r="AK650" s="126"/>
      <c r="AL650" s="122"/>
      <c r="AM650" s="122"/>
      <c r="AN650" s="122"/>
      <c r="AO650" s="122"/>
      <c r="AP650" s="122"/>
      <c r="AQ650" s="124"/>
    </row>
    <row r="651" spans="1:43" ht="15.75" customHeight="1">
      <c r="A651" s="122"/>
      <c r="B651" s="122"/>
      <c r="C651" s="122"/>
      <c r="D651" s="122"/>
      <c r="E651" s="122"/>
      <c r="F651" s="122"/>
      <c r="G651" s="122"/>
      <c r="H651" s="122"/>
      <c r="I651" s="122"/>
      <c r="J651" s="122"/>
      <c r="K651" s="122"/>
      <c r="L651" s="122"/>
      <c r="M651" s="123"/>
      <c r="N651" s="123"/>
      <c r="O651" s="122"/>
      <c r="P651" s="124"/>
      <c r="Q651" s="122"/>
      <c r="R651" s="122"/>
      <c r="S651" s="122"/>
      <c r="T651" s="122"/>
      <c r="U651" s="122"/>
      <c r="V651" s="124"/>
      <c r="W651" s="125"/>
      <c r="X651" s="122"/>
      <c r="Y651" s="122"/>
      <c r="Z651" s="122"/>
      <c r="AA651" s="126"/>
      <c r="AB651" s="122"/>
      <c r="AC651" s="122"/>
      <c r="AD651" s="127"/>
      <c r="AE651" s="127"/>
      <c r="AF651" s="127"/>
      <c r="AG651" s="127"/>
      <c r="AH651" s="124"/>
      <c r="AI651" s="127"/>
      <c r="AJ651" s="127"/>
      <c r="AK651" s="126"/>
      <c r="AL651" s="122"/>
      <c r="AM651" s="122"/>
      <c r="AN651" s="122"/>
      <c r="AO651" s="122"/>
      <c r="AP651" s="122"/>
      <c r="AQ651" s="124"/>
    </row>
    <row r="652" spans="1:43" ht="15.75" customHeight="1">
      <c r="A652" s="122"/>
      <c r="B652" s="122"/>
      <c r="C652" s="122"/>
      <c r="D652" s="122"/>
      <c r="E652" s="122"/>
      <c r="F652" s="122"/>
      <c r="G652" s="122"/>
      <c r="H652" s="122"/>
      <c r="I652" s="122"/>
      <c r="J652" s="122"/>
      <c r="K652" s="122"/>
      <c r="L652" s="122"/>
      <c r="M652" s="123"/>
      <c r="N652" s="123"/>
      <c r="O652" s="122"/>
      <c r="P652" s="124"/>
      <c r="Q652" s="122"/>
      <c r="R652" s="122"/>
      <c r="S652" s="122"/>
      <c r="T652" s="122"/>
      <c r="U652" s="122"/>
      <c r="V652" s="124"/>
      <c r="W652" s="125"/>
      <c r="X652" s="122"/>
      <c r="Y652" s="122"/>
      <c r="Z652" s="122"/>
      <c r="AA652" s="126"/>
      <c r="AB652" s="122"/>
      <c r="AC652" s="122"/>
      <c r="AD652" s="127"/>
      <c r="AE652" s="127"/>
      <c r="AF652" s="127"/>
      <c r="AG652" s="127"/>
      <c r="AH652" s="124"/>
      <c r="AI652" s="127"/>
      <c r="AJ652" s="127"/>
      <c r="AK652" s="126"/>
      <c r="AL652" s="122"/>
      <c r="AM652" s="122"/>
      <c r="AN652" s="122"/>
      <c r="AO652" s="122"/>
      <c r="AP652" s="122"/>
      <c r="AQ652" s="124"/>
    </row>
    <row r="653" spans="1:43" ht="15.75" customHeight="1">
      <c r="A653" s="122"/>
      <c r="B653" s="122"/>
      <c r="C653" s="122"/>
      <c r="D653" s="122"/>
      <c r="E653" s="122"/>
      <c r="F653" s="122"/>
      <c r="G653" s="122"/>
      <c r="H653" s="122"/>
      <c r="I653" s="122"/>
      <c r="J653" s="122"/>
      <c r="K653" s="122"/>
      <c r="L653" s="122"/>
      <c r="M653" s="123"/>
      <c r="N653" s="123"/>
      <c r="O653" s="122"/>
      <c r="P653" s="124"/>
      <c r="Q653" s="122"/>
      <c r="R653" s="122"/>
      <c r="S653" s="122"/>
      <c r="T653" s="122"/>
      <c r="U653" s="122"/>
      <c r="V653" s="124"/>
      <c r="W653" s="125"/>
      <c r="X653" s="122"/>
      <c r="Y653" s="122"/>
      <c r="Z653" s="122"/>
      <c r="AA653" s="126"/>
      <c r="AB653" s="122"/>
      <c r="AC653" s="122"/>
      <c r="AD653" s="127"/>
      <c r="AE653" s="127"/>
      <c r="AF653" s="127"/>
      <c r="AG653" s="127"/>
      <c r="AH653" s="124"/>
      <c r="AI653" s="127"/>
      <c r="AJ653" s="127"/>
      <c r="AK653" s="126"/>
      <c r="AL653" s="122"/>
      <c r="AM653" s="122"/>
      <c r="AN653" s="122"/>
      <c r="AO653" s="122"/>
      <c r="AP653" s="122"/>
      <c r="AQ653" s="124"/>
    </row>
    <row r="654" spans="1:43" ht="15.75" customHeight="1">
      <c r="A654" s="122"/>
      <c r="B654" s="122"/>
      <c r="C654" s="122"/>
      <c r="D654" s="122"/>
      <c r="E654" s="122"/>
      <c r="F654" s="122"/>
      <c r="G654" s="122"/>
      <c r="H654" s="122"/>
      <c r="I654" s="122"/>
      <c r="J654" s="122"/>
      <c r="K654" s="122"/>
      <c r="L654" s="122"/>
      <c r="M654" s="123"/>
      <c r="N654" s="123"/>
      <c r="O654" s="122"/>
      <c r="P654" s="124"/>
      <c r="Q654" s="122"/>
      <c r="R654" s="122"/>
      <c r="S654" s="122"/>
      <c r="T654" s="122"/>
      <c r="U654" s="122"/>
      <c r="V654" s="124"/>
      <c r="W654" s="125"/>
      <c r="X654" s="122"/>
      <c r="Y654" s="122"/>
      <c r="Z654" s="122"/>
      <c r="AA654" s="126"/>
      <c r="AB654" s="122"/>
      <c r="AC654" s="122"/>
      <c r="AD654" s="127"/>
      <c r="AE654" s="127"/>
      <c r="AF654" s="127"/>
      <c r="AG654" s="127"/>
      <c r="AH654" s="124"/>
      <c r="AI654" s="127"/>
      <c r="AJ654" s="127"/>
      <c r="AK654" s="126"/>
      <c r="AL654" s="122"/>
      <c r="AM654" s="122"/>
      <c r="AN654" s="122"/>
      <c r="AO654" s="122"/>
      <c r="AP654" s="122"/>
      <c r="AQ654" s="124"/>
    </row>
    <row r="655" spans="1:43" ht="15.75" customHeight="1">
      <c r="A655" s="122"/>
      <c r="B655" s="122"/>
      <c r="C655" s="122"/>
      <c r="D655" s="122"/>
      <c r="E655" s="122"/>
      <c r="F655" s="122"/>
      <c r="G655" s="122"/>
      <c r="H655" s="122"/>
      <c r="I655" s="122"/>
      <c r="J655" s="122"/>
      <c r="K655" s="122"/>
      <c r="L655" s="122"/>
      <c r="M655" s="123"/>
      <c r="N655" s="123"/>
      <c r="O655" s="122"/>
      <c r="P655" s="124"/>
      <c r="Q655" s="122"/>
      <c r="R655" s="122"/>
      <c r="S655" s="122"/>
      <c r="T655" s="122"/>
      <c r="U655" s="122"/>
      <c r="V655" s="124"/>
      <c r="W655" s="125"/>
      <c r="X655" s="122"/>
      <c r="Y655" s="122"/>
      <c r="Z655" s="122"/>
      <c r="AA655" s="126"/>
      <c r="AB655" s="122"/>
      <c r="AC655" s="122"/>
      <c r="AD655" s="127"/>
      <c r="AE655" s="127"/>
      <c r="AF655" s="127"/>
      <c r="AG655" s="127"/>
      <c r="AH655" s="124"/>
      <c r="AI655" s="127"/>
      <c r="AJ655" s="127"/>
      <c r="AK655" s="126"/>
      <c r="AL655" s="122"/>
      <c r="AM655" s="122"/>
      <c r="AN655" s="122"/>
      <c r="AO655" s="122"/>
      <c r="AP655" s="122"/>
      <c r="AQ655" s="124"/>
    </row>
    <row r="656" spans="1:43" ht="15.75" customHeight="1">
      <c r="A656" s="122"/>
      <c r="B656" s="122"/>
      <c r="C656" s="122"/>
      <c r="D656" s="122"/>
      <c r="E656" s="122"/>
      <c r="F656" s="122"/>
      <c r="G656" s="122"/>
      <c r="H656" s="122"/>
      <c r="I656" s="122"/>
      <c r="J656" s="122"/>
      <c r="K656" s="122"/>
      <c r="L656" s="122"/>
      <c r="M656" s="123"/>
      <c r="N656" s="123"/>
      <c r="O656" s="122"/>
      <c r="P656" s="124"/>
      <c r="Q656" s="122"/>
      <c r="R656" s="122"/>
      <c r="S656" s="122"/>
      <c r="T656" s="122"/>
      <c r="U656" s="122"/>
      <c r="V656" s="124"/>
      <c r="W656" s="125"/>
      <c r="X656" s="122"/>
      <c r="Y656" s="122"/>
      <c r="Z656" s="122"/>
      <c r="AA656" s="126"/>
      <c r="AB656" s="122"/>
      <c r="AC656" s="122"/>
      <c r="AD656" s="127"/>
      <c r="AE656" s="127"/>
      <c r="AF656" s="127"/>
      <c r="AG656" s="127"/>
      <c r="AH656" s="124"/>
      <c r="AI656" s="127"/>
      <c r="AJ656" s="127"/>
      <c r="AK656" s="126"/>
      <c r="AL656" s="122"/>
      <c r="AM656" s="122"/>
      <c r="AN656" s="122"/>
      <c r="AO656" s="122"/>
      <c r="AP656" s="122"/>
      <c r="AQ656" s="124"/>
    </row>
    <row r="657" spans="1:43" ht="15.75" customHeight="1">
      <c r="A657" s="122"/>
      <c r="B657" s="122"/>
      <c r="C657" s="122"/>
      <c r="D657" s="122"/>
      <c r="E657" s="122"/>
      <c r="F657" s="122"/>
      <c r="G657" s="122"/>
      <c r="H657" s="122"/>
      <c r="I657" s="122"/>
      <c r="J657" s="122"/>
      <c r="K657" s="122"/>
      <c r="L657" s="122"/>
      <c r="M657" s="123"/>
      <c r="N657" s="123"/>
      <c r="O657" s="122"/>
      <c r="P657" s="124"/>
      <c r="Q657" s="122"/>
      <c r="R657" s="122"/>
      <c r="S657" s="122"/>
      <c r="T657" s="122"/>
      <c r="U657" s="122"/>
      <c r="V657" s="124"/>
      <c r="W657" s="125"/>
      <c r="X657" s="122"/>
      <c r="Y657" s="122"/>
      <c r="Z657" s="122"/>
      <c r="AA657" s="126"/>
      <c r="AB657" s="122"/>
      <c r="AC657" s="122"/>
      <c r="AD657" s="127"/>
      <c r="AE657" s="127"/>
      <c r="AF657" s="127"/>
      <c r="AG657" s="127"/>
      <c r="AH657" s="124"/>
      <c r="AI657" s="127"/>
      <c r="AJ657" s="127"/>
      <c r="AK657" s="126"/>
      <c r="AL657" s="122"/>
      <c r="AM657" s="122"/>
      <c r="AN657" s="122"/>
      <c r="AO657" s="122"/>
      <c r="AP657" s="122"/>
      <c r="AQ657" s="124"/>
    </row>
    <row r="658" spans="1:43" ht="15.75" customHeight="1">
      <c r="A658" s="122"/>
      <c r="B658" s="122"/>
      <c r="C658" s="122"/>
      <c r="D658" s="122"/>
      <c r="E658" s="122"/>
      <c r="F658" s="122"/>
      <c r="G658" s="122"/>
      <c r="H658" s="122"/>
      <c r="I658" s="122"/>
      <c r="J658" s="122"/>
      <c r="K658" s="122"/>
      <c r="L658" s="122"/>
      <c r="M658" s="123"/>
      <c r="N658" s="123"/>
      <c r="O658" s="122"/>
      <c r="P658" s="124"/>
      <c r="Q658" s="122"/>
      <c r="R658" s="122"/>
      <c r="S658" s="122"/>
      <c r="T658" s="122"/>
      <c r="U658" s="122"/>
      <c r="V658" s="124"/>
      <c r="W658" s="125"/>
      <c r="X658" s="122"/>
      <c r="Y658" s="122"/>
      <c r="Z658" s="122"/>
      <c r="AA658" s="126"/>
      <c r="AB658" s="122"/>
      <c r="AC658" s="122"/>
      <c r="AD658" s="127"/>
      <c r="AE658" s="127"/>
      <c r="AF658" s="127"/>
      <c r="AG658" s="127"/>
      <c r="AH658" s="124"/>
      <c r="AI658" s="127"/>
      <c r="AJ658" s="127"/>
      <c r="AK658" s="126"/>
      <c r="AL658" s="122"/>
      <c r="AM658" s="122"/>
      <c r="AN658" s="122"/>
      <c r="AO658" s="122"/>
      <c r="AP658" s="122"/>
      <c r="AQ658" s="124"/>
    </row>
    <row r="659" spans="1:43" ht="15.75" customHeight="1">
      <c r="A659" s="122"/>
      <c r="B659" s="122"/>
      <c r="C659" s="122"/>
      <c r="D659" s="122"/>
      <c r="E659" s="122"/>
      <c r="F659" s="122"/>
      <c r="G659" s="122"/>
      <c r="H659" s="122"/>
      <c r="I659" s="122"/>
      <c r="J659" s="122"/>
      <c r="K659" s="122"/>
      <c r="L659" s="122"/>
      <c r="M659" s="123"/>
      <c r="N659" s="123"/>
      <c r="O659" s="122"/>
      <c r="P659" s="124"/>
      <c r="Q659" s="122"/>
      <c r="R659" s="122"/>
      <c r="S659" s="122"/>
      <c r="T659" s="122"/>
      <c r="U659" s="122"/>
      <c r="V659" s="124"/>
      <c r="W659" s="125"/>
      <c r="X659" s="122"/>
      <c r="Y659" s="122"/>
      <c r="Z659" s="122"/>
      <c r="AA659" s="126"/>
      <c r="AB659" s="122"/>
      <c r="AC659" s="122"/>
      <c r="AD659" s="127"/>
      <c r="AE659" s="127"/>
      <c r="AF659" s="127"/>
      <c r="AG659" s="127"/>
      <c r="AH659" s="124"/>
      <c r="AI659" s="127"/>
      <c r="AJ659" s="127"/>
      <c r="AK659" s="126"/>
      <c r="AL659" s="122"/>
      <c r="AM659" s="122"/>
      <c r="AN659" s="122"/>
      <c r="AO659" s="122"/>
      <c r="AP659" s="122"/>
      <c r="AQ659" s="124"/>
    </row>
    <row r="660" spans="1:43" ht="15.75" customHeight="1">
      <c r="A660" s="122"/>
      <c r="B660" s="122"/>
      <c r="C660" s="122"/>
      <c r="D660" s="122"/>
      <c r="E660" s="122"/>
      <c r="F660" s="122"/>
      <c r="G660" s="122"/>
      <c r="H660" s="122"/>
      <c r="I660" s="122"/>
      <c r="J660" s="122"/>
      <c r="K660" s="122"/>
      <c r="L660" s="122"/>
      <c r="M660" s="123"/>
      <c r="N660" s="123"/>
      <c r="O660" s="122"/>
      <c r="P660" s="124"/>
      <c r="Q660" s="122"/>
      <c r="R660" s="122"/>
      <c r="S660" s="122"/>
      <c r="T660" s="122"/>
      <c r="U660" s="122"/>
      <c r="V660" s="124"/>
      <c r="W660" s="125"/>
      <c r="X660" s="122"/>
      <c r="Y660" s="122"/>
      <c r="Z660" s="122"/>
      <c r="AA660" s="126"/>
      <c r="AB660" s="122"/>
      <c r="AC660" s="122"/>
      <c r="AD660" s="127"/>
      <c r="AE660" s="127"/>
      <c r="AF660" s="127"/>
      <c r="AG660" s="127"/>
      <c r="AH660" s="124"/>
      <c r="AI660" s="127"/>
      <c r="AJ660" s="127"/>
      <c r="AK660" s="126"/>
      <c r="AL660" s="122"/>
      <c r="AM660" s="122"/>
      <c r="AN660" s="122"/>
      <c r="AO660" s="122"/>
      <c r="AP660" s="122"/>
      <c r="AQ660" s="124"/>
    </row>
    <row r="661" spans="1:43" ht="15.75" customHeight="1">
      <c r="A661" s="122"/>
      <c r="B661" s="122"/>
      <c r="C661" s="122"/>
      <c r="D661" s="122"/>
      <c r="E661" s="122"/>
      <c r="F661" s="122"/>
      <c r="G661" s="122"/>
      <c r="H661" s="122"/>
      <c r="I661" s="122"/>
      <c r="J661" s="122"/>
      <c r="K661" s="122"/>
      <c r="L661" s="122"/>
      <c r="M661" s="123"/>
      <c r="N661" s="123"/>
      <c r="O661" s="122"/>
      <c r="P661" s="124"/>
      <c r="Q661" s="122"/>
      <c r="R661" s="122"/>
      <c r="S661" s="122"/>
      <c r="T661" s="122"/>
      <c r="U661" s="122"/>
      <c r="V661" s="124"/>
      <c r="W661" s="125"/>
      <c r="X661" s="122"/>
      <c r="Y661" s="122"/>
      <c r="Z661" s="122"/>
      <c r="AA661" s="126"/>
      <c r="AB661" s="122"/>
      <c r="AC661" s="122"/>
      <c r="AD661" s="127"/>
      <c r="AE661" s="127"/>
      <c r="AF661" s="127"/>
      <c r="AG661" s="127"/>
      <c r="AH661" s="124"/>
      <c r="AI661" s="127"/>
      <c r="AJ661" s="127"/>
      <c r="AK661" s="126"/>
      <c r="AL661" s="122"/>
      <c r="AM661" s="122"/>
      <c r="AN661" s="122"/>
      <c r="AO661" s="122"/>
      <c r="AP661" s="122"/>
      <c r="AQ661" s="124"/>
    </row>
    <row r="662" spans="1:43" ht="15.75" customHeight="1">
      <c r="A662" s="122"/>
      <c r="B662" s="122"/>
      <c r="C662" s="122"/>
      <c r="D662" s="122"/>
      <c r="E662" s="122"/>
      <c r="F662" s="122"/>
      <c r="G662" s="122"/>
      <c r="H662" s="122"/>
      <c r="I662" s="122"/>
      <c r="J662" s="122"/>
      <c r="K662" s="122"/>
      <c r="L662" s="122"/>
      <c r="M662" s="123"/>
      <c r="N662" s="123"/>
      <c r="O662" s="122"/>
      <c r="P662" s="124"/>
      <c r="Q662" s="122"/>
      <c r="R662" s="122"/>
      <c r="S662" s="122"/>
      <c r="T662" s="122"/>
      <c r="U662" s="122"/>
      <c r="V662" s="124"/>
      <c r="W662" s="125"/>
      <c r="X662" s="122"/>
      <c r="Y662" s="122"/>
      <c r="Z662" s="122"/>
      <c r="AA662" s="126"/>
      <c r="AB662" s="122"/>
      <c r="AC662" s="122"/>
      <c r="AD662" s="127"/>
      <c r="AE662" s="127"/>
      <c r="AF662" s="127"/>
      <c r="AG662" s="127"/>
      <c r="AH662" s="124"/>
      <c r="AI662" s="127"/>
      <c r="AJ662" s="127"/>
      <c r="AK662" s="126"/>
      <c r="AL662" s="122"/>
      <c r="AM662" s="122"/>
      <c r="AN662" s="122"/>
      <c r="AO662" s="122"/>
      <c r="AP662" s="122"/>
      <c r="AQ662" s="124"/>
    </row>
    <row r="663" spans="1:43" ht="15.75" customHeight="1">
      <c r="A663" s="122"/>
      <c r="B663" s="122"/>
      <c r="C663" s="122"/>
      <c r="D663" s="122"/>
      <c r="E663" s="122"/>
      <c r="F663" s="122"/>
      <c r="G663" s="122"/>
      <c r="H663" s="122"/>
      <c r="I663" s="122"/>
      <c r="J663" s="122"/>
      <c r="K663" s="122"/>
      <c r="L663" s="122"/>
      <c r="M663" s="123"/>
      <c r="N663" s="123"/>
      <c r="O663" s="122"/>
      <c r="P663" s="124"/>
      <c r="Q663" s="122"/>
      <c r="R663" s="122"/>
      <c r="S663" s="122"/>
      <c r="T663" s="122"/>
      <c r="U663" s="122"/>
      <c r="V663" s="124"/>
      <c r="W663" s="125"/>
      <c r="X663" s="122"/>
      <c r="Y663" s="122"/>
      <c r="Z663" s="122"/>
      <c r="AA663" s="126"/>
      <c r="AB663" s="122"/>
      <c r="AC663" s="122"/>
      <c r="AD663" s="127"/>
      <c r="AE663" s="127"/>
      <c r="AF663" s="127"/>
      <c r="AG663" s="127"/>
      <c r="AH663" s="124"/>
      <c r="AI663" s="127"/>
      <c r="AJ663" s="127"/>
      <c r="AK663" s="126"/>
      <c r="AL663" s="122"/>
      <c r="AM663" s="122"/>
      <c r="AN663" s="122"/>
      <c r="AO663" s="122"/>
      <c r="AP663" s="122"/>
      <c r="AQ663" s="124"/>
    </row>
    <row r="664" spans="1:43" ht="15.75" customHeight="1">
      <c r="A664" s="122"/>
      <c r="B664" s="122"/>
      <c r="C664" s="122"/>
      <c r="D664" s="122"/>
      <c r="E664" s="122"/>
      <c r="F664" s="122"/>
      <c r="G664" s="122"/>
      <c r="H664" s="122"/>
      <c r="I664" s="122"/>
      <c r="J664" s="122"/>
      <c r="K664" s="122"/>
      <c r="L664" s="122"/>
      <c r="M664" s="123"/>
      <c r="N664" s="123"/>
      <c r="O664" s="122"/>
      <c r="P664" s="124"/>
      <c r="Q664" s="122"/>
      <c r="R664" s="122"/>
      <c r="S664" s="122"/>
      <c r="T664" s="122"/>
      <c r="U664" s="122"/>
      <c r="V664" s="124"/>
      <c r="W664" s="125"/>
      <c r="X664" s="122"/>
      <c r="Y664" s="122"/>
      <c r="Z664" s="122"/>
      <c r="AA664" s="126"/>
      <c r="AB664" s="122"/>
      <c r="AC664" s="122"/>
      <c r="AD664" s="127"/>
      <c r="AE664" s="127"/>
      <c r="AF664" s="127"/>
      <c r="AG664" s="127"/>
      <c r="AH664" s="124"/>
      <c r="AI664" s="127"/>
      <c r="AJ664" s="127"/>
      <c r="AK664" s="126"/>
      <c r="AL664" s="122"/>
      <c r="AM664" s="122"/>
      <c r="AN664" s="122"/>
      <c r="AO664" s="122"/>
      <c r="AP664" s="122"/>
      <c r="AQ664" s="124"/>
    </row>
    <row r="665" spans="1:43" ht="15.75" customHeight="1">
      <c r="A665" s="122"/>
      <c r="B665" s="122"/>
      <c r="C665" s="122"/>
      <c r="D665" s="122"/>
      <c r="E665" s="122"/>
      <c r="F665" s="122"/>
      <c r="G665" s="122"/>
      <c r="H665" s="122"/>
      <c r="I665" s="122"/>
      <c r="J665" s="122"/>
      <c r="K665" s="122"/>
      <c r="L665" s="122"/>
      <c r="M665" s="123"/>
      <c r="N665" s="123"/>
      <c r="O665" s="122"/>
      <c r="P665" s="124"/>
      <c r="Q665" s="122"/>
      <c r="R665" s="122"/>
      <c r="S665" s="122"/>
      <c r="T665" s="122"/>
      <c r="U665" s="122"/>
      <c r="V665" s="124"/>
      <c r="W665" s="125"/>
      <c r="X665" s="122"/>
      <c r="Y665" s="122"/>
      <c r="Z665" s="122"/>
      <c r="AA665" s="126"/>
      <c r="AB665" s="122"/>
      <c r="AC665" s="122"/>
      <c r="AD665" s="127"/>
      <c r="AE665" s="127"/>
      <c r="AF665" s="127"/>
      <c r="AG665" s="127"/>
      <c r="AH665" s="124"/>
      <c r="AI665" s="127"/>
      <c r="AJ665" s="127"/>
      <c r="AK665" s="126"/>
      <c r="AL665" s="122"/>
      <c r="AM665" s="122"/>
      <c r="AN665" s="122"/>
      <c r="AO665" s="122"/>
      <c r="AP665" s="122"/>
      <c r="AQ665" s="124"/>
    </row>
    <row r="666" spans="1:43" ht="15.75" customHeight="1">
      <c r="A666" s="122"/>
      <c r="B666" s="122"/>
      <c r="C666" s="122"/>
      <c r="D666" s="122"/>
      <c r="E666" s="122"/>
      <c r="F666" s="122"/>
      <c r="G666" s="122"/>
      <c r="H666" s="122"/>
      <c r="I666" s="122"/>
      <c r="J666" s="122"/>
      <c r="K666" s="122"/>
      <c r="L666" s="122"/>
      <c r="M666" s="123"/>
      <c r="N666" s="123"/>
      <c r="O666" s="122"/>
      <c r="P666" s="124"/>
      <c r="Q666" s="122"/>
      <c r="R666" s="122"/>
      <c r="S666" s="122"/>
      <c r="T666" s="122"/>
      <c r="U666" s="122"/>
      <c r="V666" s="124"/>
      <c r="W666" s="125"/>
      <c r="X666" s="122"/>
      <c r="Y666" s="122"/>
      <c r="Z666" s="122"/>
      <c r="AA666" s="126"/>
      <c r="AB666" s="122"/>
      <c r="AC666" s="122"/>
      <c r="AD666" s="127"/>
      <c r="AE666" s="127"/>
      <c r="AF666" s="127"/>
      <c r="AG666" s="127"/>
      <c r="AH666" s="124"/>
      <c r="AI666" s="127"/>
      <c r="AJ666" s="127"/>
      <c r="AK666" s="126"/>
      <c r="AL666" s="122"/>
      <c r="AM666" s="122"/>
      <c r="AN666" s="122"/>
      <c r="AO666" s="122"/>
      <c r="AP666" s="122"/>
      <c r="AQ666" s="124"/>
    </row>
    <row r="667" spans="1:43" ht="15.75" customHeight="1">
      <c r="A667" s="122"/>
      <c r="B667" s="122"/>
      <c r="C667" s="122"/>
      <c r="D667" s="122"/>
      <c r="E667" s="122"/>
      <c r="F667" s="122"/>
      <c r="G667" s="122"/>
      <c r="H667" s="122"/>
      <c r="I667" s="122"/>
      <c r="J667" s="122"/>
      <c r="K667" s="122"/>
      <c r="L667" s="122"/>
      <c r="M667" s="123"/>
      <c r="N667" s="123"/>
      <c r="O667" s="122"/>
      <c r="P667" s="124"/>
      <c r="Q667" s="122"/>
      <c r="R667" s="122"/>
      <c r="S667" s="122"/>
      <c r="T667" s="122"/>
      <c r="U667" s="122"/>
      <c r="V667" s="124"/>
      <c r="W667" s="125"/>
      <c r="X667" s="122"/>
      <c r="Y667" s="122"/>
      <c r="Z667" s="122"/>
      <c r="AA667" s="126"/>
      <c r="AB667" s="122"/>
      <c r="AC667" s="122"/>
      <c r="AD667" s="127"/>
      <c r="AE667" s="127"/>
      <c r="AF667" s="127"/>
      <c r="AG667" s="127"/>
      <c r="AH667" s="124"/>
      <c r="AI667" s="127"/>
      <c r="AJ667" s="127"/>
      <c r="AK667" s="126"/>
      <c r="AL667" s="122"/>
      <c r="AM667" s="122"/>
      <c r="AN667" s="122"/>
      <c r="AO667" s="122"/>
      <c r="AP667" s="122"/>
      <c r="AQ667" s="124"/>
    </row>
    <row r="668" spans="1:43" ht="15.75" customHeight="1">
      <c r="A668" s="122"/>
      <c r="B668" s="122"/>
      <c r="C668" s="122"/>
      <c r="D668" s="122"/>
      <c r="E668" s="122"/>
      <c r="F668" s="122"/>
      <c r="G668" s="122"/>
      <c r="H668" s="122"/>
      <c r="I668" s="122"/>
      <c r="J668" s="122"/>
      <c r="K668" s="122"/>
      <c r="L668" s="122"/>
      <c r="M668" s="123"/>
      <c r="N668" s="123"/>
      <c r="O668" s="122"/>
      <c r="P668" s="124"/>
      <c r="Q668" s="122"/>
      <c r="R668" s="122"/>
      <c r="S668" s="122"/>
      <c r="T668" s="122"/>
      <c r="U668" s="122"/>
      <c r="V668" s="124"/>
      <c r="W668" s="125"/>
      <c r="X668" s="122"/>
      <c r="Y668" s="122"/>
      <c r="Z668" s="122"/>
      <c r="AA668" s="126"/>
      <c r="AB668" s="122"/>
      <c r="AC668" s="122"/>
      <c r="AD668" s="127"/>
      <c r="AE668" s="127"/>
      <c r="AF668" s="127"/>
      <c r="AG668" s="127"/>
      <c r="AH668" s="124"/>
      <c r="AI668" s="127"/>
      <c r="AJ668" s="127"/>
      <c r="AK668" s="126"/>
      <c r="AL668" s="122"/>
      <c r="AM668" s="122"/>
      <c r="AN668" s="122"/>
      <c r="AO668" s="122"/>
      <c r="AP668" s="122"/>
      <c r="AQ668" s="124"/>
    </row>
    <row r="669" spans="1:43" ht="15.75" customHeight="1">
      <c r="A669" s="122"/>
      <c r="B669" s="122"/>
      <c r="C669" s="122"/>
      <c r="D669" s="122"/>
      <c r="E669" s="122"/>
      <c r="F669" s="122"/>
      <c r="G669" s="122"/>
      <c r="H669" s="122"/>
      <c r="I669" s="122"/>
      <c r="J669" s="122"/>
      <c r="K669" s="122"/>
      <c r="L669" s="122"/>
      <c r="M669" s="123"/>
      <c r="N669" s="123"/>
      <c r="O669" s="122"/>
      <c r="P669" s="124"/>
      <c r="Q669" s="122"/>
      <c r="R669" s="122"/>
      <c r="S669" s="122"/>
      <c r="T669" s="122"/>
      <c r="U669" s="122"/>
      <c r="V669" s="124"/>
      <c r="W669" s="125"/>
      <c r="X669" s="122"/>
      <c r="Y669" s="122"/>
      <c r="Z669" s="122"/>
      <c r="AA669" s="126"/>
      <c r="AB669" s="122"/>
      <c r="AC669" s="122"/>
      <c r="AD669" s="127"/>
      <c r="AE669" s="127"/>
      <c r="AF669" s="127"/>
      <c r="AG669" s="127"/>
      <c r="AH669" s="124"/>
      <c r="AI669" s="127"/>
      <c r="AJ669" s="127"/>
      <c r="AK669" s="126"/>
      <c r="AL669" s="122"/>
      <c r="AM669" s="122"/>
      <c r="AN669" s="122"/>
      <c r="AO669" s="122"/>
      <c r="AP669" s="122"/>
      <c r="AQ669" s="124"/>
    </row>
    <row r="670" spans="1:43" ht="15.75" customHeight="1">
      <c r="A670" s="122"/>
      <c r="B670" s="122"/>
      <c r="C670" s="122"/>
      <c r="D670" s="122"/>
      <c r="E670" s="122"/>
      <c r="F670" s="122"/>
      <c r="G670" s="122"/>
      <c r="H670" s="122"/>
      <c r="I670" s="122"/>
      <c r="J670" s="122"/>
      <c r="K670" s="122"/>
      <c r="L670" s="122"/>
      <c r="M670" s="123"/>
      <c r="N670" s="123"/>
      <c r="O670" s="122"/>
      <c r="P670" s="124"/>
      <c r="Q670" s="122"/>
      <c r="R670" s="122"/>
      <c r="S670" s="122"/>
      <c r="T670" s="122"/>
      <c r="U670" s="122"/>
      <c r="V670" s="124"/>
      <c r="W670" s="125"/>
      <c r="X670" s="122"/>
      <c r="Y670" s="122"/>
      <c r="Z670" s="122"/>
      <c r="AA670" s="126"/>
      <c r="AB670" s="122"/>
      <c r="AC670" s="122"/>
      <c r="AD670" s="127"/>
      <c r="AE670" s="127"/>
      <c r="AF670" s="127"/>
      <c r="AG670" s="127"/>
      <c r="AH670" s="124"/>
      <c r="AI670" s="127"/>
      <c r="AJ670" s="127"/>
      <c r="AK670" s="126"/>
      <c r="AL670" s="122"/>
      <c r="AM670" s="122"/>
      <c r="AN670" s="122"/>
      <c r="AO670" s="122"/>
      <c r="AP670" s="122"/>
      <c r="AQ670" s="124"/>
    </row>
    <row r="671" spans="1:43" ht="15.75" customHeight="1">
      <c r="A671" s="122"/>
      <c r="B671" s="122"/>
      <c r="C671" s="122"/>
      <c r="D671" s="122"/>
      <c r="E671" s="122"/>
      <c r="F671" s="122"/>
      <c r="G671" s="122"/>
      <c r="H671" s="122"/>
      <c r="I671" s="122"/>
      <c r="J671" s="122"/>
      <c r="K671" s="122"/>
      <c r="L671" s="122"/>
      <c r="M671" s="123"/>
      <c r="N671" s="123"/>
      <c r="O671" s="122"/>
      <c r="P671" s="124"/>
      <c r="Q671" s="122"/>
      <c r="R671" s="122"/>
      <c r="S671" s="122"/>
      <c r="T671" s="122"/>
      <c r="U671" s="122"/>
      <c r="V671" s="124"/>
      <c r="W671" s="125"/>
      <c r="X671" s="122"/>
      <c r="Y671" s="122"/>
      <c r="Z671" s="122"/>
      <c r="AA671" s="126"/>
      <c r="AB671" s="122"/>
      <c r="AC671" s="122"/>
      <c r="AD671" s="127"/>
      <c r="AE671" s="127"/>
      <c r="AF671" s="127"/>
      <c r="AG671" s="127"/>
      <c r="AH671" s="124"/>
      <c r="AI671" s="127"/>
      <c r="AJ671" s="127"/>
      <c r="AK671" s="126"/>
      <c r="AL671" s="122"/>
      <c r="AM671" s="122"/>
      <c r="AN671" s="122"/>
      <c r="AO671" s="122"/>
      <c r="AP671" s="122"/>
      <c r="AQ671" s="124"/>
    </row>
    <row r="672" spans="1:43" ht="15.75" customHeight="1">
      <c r="A672" s="122"/>
      <c r="B672" s="122"/>
      <c r="C672" s="122"/>
      <c r="D672" s="122"/>
      <c r="E672" s="122"/>
      <c r="F672" s="122"/>
      <c r="G672" s="122"/>
      <c r="H672" s="122"/>
      <c r="I672" s="122"/>
      <c r="J672" s="122"/>
      <c r="K672" s="122"/>
      <c r="L672" s="122"/>
      <c r="M672" s="123"/>
      <c r="N672" s="123"/>
      <c r="O672" s="122"/>
      <c r="P672" s="124"/>
      <c r="Q672" s="122"/>
      <c r="R672" s="122"/>
      <c r="S672" s="122"/>
      <c r="T672" s="122"/>
      <c r="U672" s="122"/>
      <c r="V672" s="124"/>
      <c r="W672" s="125"/>
      <c r="X672" s="122"/>
      <c r="Y672" s="122"/>
      <c r="Z672" s="122"/>
      <c r="AA672" s="126"/>
      <c r="AB672" s="122"/>
      <c r="AC672" s="122"/>
      <c r="AD672" s="127"/>
      <c r="AE672" s="127"/>
      <c r="AF672" s="127"/>
      <c r="AG672" s="127"/>
      <c r="AH672" s="124"/>
      <c r="AI672" s="127"/>
      <c r="AJ672" s="127"/>
      <c r="AK672" s="126"/>
      <c r="AL672" s="122"/>
      <c r="AM672" s="122"/>
      <c r="AN672" s="122"/>
      <c r="AO672" s="122"/>
      <c r="AP672" s="122"/>
      <c r="AQ672" s="124"/>
    </row>
    <row r="673" spans="1:43" ht="15.75" customHeight="1">
      <c r="A673" s="122"/>
      <c r="B673" s="122"/>
      <c r="C673" s="122"/>
      <c r="D673" s="122"/>
      <c r="E673" s="122"/>
      <c r="F673" s="122"/>
      <c r="G673" s="122"/>
      <c r="H673" s="122"/>
      <c r="I673" s="122"/>
      <c r="J673" s="122"/>
      <c r="K673" s="122"/>
      <c r="L673" s="122"/>
      <c r="M673" s="123"/>
      <c r="N673" s="123"/>
      <c r="O673" s="122"/>
      <c r="P673" s="124"/>
      <c r="Q673" s="122"/>
      <c r="R673" s="122"/>
      <c r="S673" s="122"/>
      <c r="T673" s="122"/>
      <c r="U673" s="122"/>
      <c r="V673" s="124"/>
      <c r="W673" s="125"/>
      <c r="X673" s="122"/>
      <c r="Y673" s="122"/>
      <c r="Z673" s="122"/>
      <c r="AA673" s="126"/>
      <c r="AB673" s="122"/>
      <c r="AC673" s="122"/>
      <c r="AD673" s="127"/>
      <c r="AE673" s="127"/>
      <c r="AF673" s="127"/>
      <c r="AG673" s="127"/>
      <c r="AH673" s="124"/>
      <c r="AI673" s="127"/>
      <c r="AJ673" s="127"/>
      <c r="AK673" s="126"/>
      <c r="AL673" s="122"/>
      <c r="AM673" s="122"/>
      <c r="AN673" s="122"/>
      <c r="AO673" s="122"/>
      <c r="AP673" s="122"/>
      <c r="AQ673" s="124"/>
    </row>
    <row r="674" spans="1:43" ht="15.75" customHeight="1">
      <c r="A674" s="122"/>
      <c r="B674" s="122"/>
      <c r="C674" s="122"/>
      <c r="D674" s="122"/>
      <c r="E674" s="122"/>
      <c r="F674" s="122"/>
      <c r="G674" s="122"/>
      <c r="H674" s="122"/>
      <c r="I674" s="122"/>
      <c r="J674" s="122"/>
      <c r="K674" s="122"/>
      <c r="L674" s="122"/>
      <c r="M674" s="123"/>
      <c r="N674" s="123"/>
      <c r="O674" s="122"/>
      <c r="P674" s="124"/>
      <c r="Q674" s="122"/>
      <c r="R674" s="122"/>
      <c r="S674" s="122"/>
      <c r="T674" s="122"/>
      <c r="U674" s="122"/>
      <c r="V674" s="124"/>
      <c r="W674" s="125"/>
      <c r="X674" s="122"/>
      <c r="Y674" s="122"/>
      <c r="Z674" s="122"/>
      <c r="AA674" s="126"/>
      <c r="AB674" s="122"/>
      <c r="AC674" s="122"/>
      <c r="AD674" s="127"/>
      <c r="AE674" s="127"/>
      <c r="AF674" s="127"/>
      <c r="AG674" s="127"/>
      <c r="AH674" s="124"/>
      <c r="AI674" s="127"/>
      <c r="AJ674" s="127"/>
      <c r="AK674" s="126"/>
      <c r="AL674" s="122"/>
      <c r="AM674" s="122"/>
      <c r="AN674" s="122"/>
      <c r="AO674" s="122"/>
      <c r="AP674" s="122"/>
      <c r="AQ674" s="124"/>
    </row>
    <row r="675" spans="1:43" ht="15.75" customHeight="1">
      <c r="A675" s="122"/>
      <c r="B675" s="122"/>
      <c r="C675" s="122"/>
      <c r="D675" s="122"/>
      <c r="E675" s="122"/>
      <c r="F675" s="122"/>
      <c r="G675" s="122"/>
      <c r="H675" s="122"/>
      <c r="I675" s="122"/>
      <c r="J675" s="122"/>
      <c r="K675" s="122"/>
      <c r="L675" s="122"/>
      <c r="M675" s="123"/>
      <c r="N675" s="123"/>
      <c r="O675" s="122"/>
      <c r="P675" s="124"/>
      <c r="Q675" s="122"/>
      <c r="R675" s="122"/>
      <c r="S675" s="122"/>
      <c r="T675" s="122"/>
      <c r="U675" s="122"/>
      <c r="V675" s="124"/>
      <c r="W675" s="125"/>
      <c r="X675" s="122"/>
      <c r="Y675" s="122"/>
      <c r="Z675" s="122"/>
      <c r="AA675" s="126"/>
      <c r="AB675" s="122"/>
      <c r="AC675" s="122"/>
      <c r="AD675" s="127"/>
      <c r="AE675" s="127"/>
      <c r="AF675" s="127"/>
      <c r="AG675" s="127"/>
      <c r="AH675" s="124"/>
      <c r="AI675" s="127"/>
      <c r="AJ675" s="127"/>
      <c r="AK675" s="126"/>
      <c r="AL675" s="122"/>
      <c r="AM675" s="122"/>
      <c r="AN675" s="122"/>
      <c r="AO675" s="122"/>
      <c r="AP675" s="122"/>
      <c r="AQ675" s="124"/>
    </row>
    <row r="676" spans="1:43" ht="15.75" customHeight="1">
      <c r="A676" s="122"/>
      <c r="B676" s="122"/>
      <c r="C676" s="122"/>
      <c r="D676" s="122"/>
      <c r="E676" s="122"/>
      <c r="F676" s="122"/>
      <c r="G676" s="122"/>
      <c r="H676" s="122"/>
      <c r="I676" s="122"/>
      <c r="J676" s="122"/>
      <c r="K676" s="122"/>
      <c r="L676" s="122"/>
      <c r="M676" s="123"/>
      <c r="N676" s="123"/>
      <c r="O676" s="122"/>
      <c r="P676" s="124"/>
      <c r="Q676" s="122"/>
      <c r="R676" s="122"/>
      <c r="S676" s="122"/>
      <c r="T676" s="122"/>
      <c r="U676" s="122"/>
      <c r="V676" s="124"/>
      <c r="W676" s="125"/>
      <c r="X676" s="122"/>
      <c r="Y676" s="122"/>
      <c r="Z676" s="122"/>
      <c r="AA676" s="126"/>
      <c r="AB676" s="122"/>
      <c r="AC676" s="122"/>
      <c r="AD676" s="127"/>
      <c r="AE676" s="127"/>
      <c r="AF676" s="127"/>
      <c r="AG676" s="127"/>
      <c r="AH676" s="124"/>
      <c r="AI676" s="127"/>
      <c r="AJ676" s="127"/>
      <c r="AK676" s="126"/>
      <c r="AL676" s="122"/>
      <c r="AM676" s="122"/>
      <c r="AN676" s="122"/>
      <c r="AO676" s="122"/>
      <c r="AP676" s="122"/>
      <c r="AQ676" s="124"/>
    </row>
    <row r="677" spans="1:43" ht="15.75" customHeight="1">
      <c r="A677" s="122"/>
      <c r="B677" s="122"/>
      <c r="C677" s="122"/>
      <c r="D677" s="122"/>
      <c r="E677" s="122"/>
      <c r="F677" s="122"/>
      <c r="G677" s="122"/>
      <c r="H677" s="122"/>
      <c r="I677" s="122"/>
      <c r="J677" s="122"/>
      <c r="K677" s="122"/>
      <c r="L677" s="122"/>
      <c r="M677" s="123"/>
      <c r="N677" s="123"/>
      <c r="O677" s="122"/>
      <c r="P677" s="124"/>
      <c r="Q677" s="122"/>
      <c r="R677" s="122"/>
      <c r="S677" s="122"/>
      <c r="T677" s="122"/>
      <c r="U677" s="122"/>
      <c r="V677" s="124"/>
      <c r="W677" s="125"/>
      <c r="X677" s="122"/>
      <c r="Y677" s="122"/>
      <c r="Z677" s="122"/>
      <c r="AA677" s="126"/>
      <c r="AB677" s="122"/>
      <c r="AC677" s="122"/>
      <c r="AD677" s="127"/>
      <c r="AE677" s="127"/>
      <c r="AF677" s="127"/>
      <c r="AG677" s="127"/>
      <c r="AH677" s="124"/>
      <c r="AI677" s="127"/>
      <c r="AJ677" s="127"/>
      <c r="AK677" s="126"/>
      <c r="AL677" s="122"/>
      <c r="AM677" s="122"/>
      <c r="AN677" s="122"/>
      <c r="AO677" s="122"/>
      <c r="AP677" s="122"/>
      <c r="AQ677" s="124"/>
    </row>
    <row r="678" spans="1:43" ht="15.75" customHeight="1">
      <c r="A678" s="122"/>
      <c r="B678" s="122"/>
      <c r="C678" s="122"/>
      <c r="D678" s="122"/>
      <c r="E678" s="122"/>
      <c r="F678" s="122"/>
      <c r="G678" s="122"/>
      <c r="H678" s="122"/>
      <c r="I678" s="122"/>
      <c r="J678" s="122"/>
      <c r="K678" s="122"/>
      <c r="L678" s="122"/>
      <c r="M678" s="123"/>
      <c r="N678" s="123"/>
      <c r="O678" s="122"/>
      <c r="P678" s="124"/>
      <c r="Q678" s="122"/>
      <c r="R678" s="122"/>
      <c r="S678" s="122"/>
      <c r="T678" s="122"/>
      <c r="U678" s="122"/>
      <c r="V678" s="124"/>
      <c r="W678" s="125"/>
      <c r="X678" s="122"/>
      <c r="Y678" s="122"/>
      <c r="Z678" s="122"/>
      <c r="AA678" s="126"/>
      <c r="AB678" s="122"/>
      <c r="AC678" s="122"/>
      <c r="AD678" s="127"/>
      <c r="AE678" s="127"/>
      <c r="AF678" s="127"/>
      <c r="AG678" s="127"/>
      <c r="AH678" s="124"/>
      <c r="AI678" s="127"/>
      <c r="AJ678" s="127"/>
      <c r="AK678" s="126"/>
      <c r="AL678" s="122"/>
      <c r="AM678" s="122"/>
      <c r="AN678" s="122"/>
      <c r="AO678" s="122"/>
      <c r="AP678" s="122"/>
      <c r="AQ678" s="124"/>
    </row>
    <row r="679" spans="1:43" ht="15.75" customHeight="1">
      <c r="A679" s="122"/>
      <c r="B679" s="122"/>
      <c r="C679" s="122"/>
      <c r="D679" s="122"/>
      <c r="E679" s="122"/>
      <c r="F679" s="122"/>
      <c r="G679" s="122"/>
      <c r="H679" s="122"/>
      <c r="I679" s="122"/>
      <c r="J679" s="122"/>
      <c r="K679" s="122"/>
      <c r="L679" s="122"/>
      <c r="M679" s="123"/>
      <c r="N679" s="123"/>
      <c r="O679" s="122"/>
      <c r="P679" s="124"/>
      <c r="Q679" s="122"/>
      <c r="R679" s="122"/>
      <c r="S679" s="122"/>
      <c r="T679" s="122"/>
      <c r="U679" s="122"/>
      <c r="V679" s="124"/>
      <c r="W679" s="125"/>
      <c r="X679" s="122"/>
      <c r="Y679" s="122"/>
      <c r="Z679" s="122"/>
      <c r="AA679" s="126"/>
      <c r="AB679" s="122"/>
      <c r="AC679" s="122"/>
      <c r="AD679" s="127"/>
      <c r="AE679" s="127"/>
      <c r="AF679" s="127"/>
      <c r="AG679" s="127"/>
      <c r="AH679" s="124"/>
      <c r="AI679" s="127"/>
      <c r="AJ679" s="127"/>
      <c r="AK679" s="126"/>
      <c r="AL679" s="122"/>
      <c r="AM679" s="122"/>
      <c r="AN679" s="122"/>
      <c r="AO679" s="122"/>
      <c r="AP679" s="122"/>
      <c r="AQ679" s="124"/>
    </row>
    <row r="680" spans="1:43" ht="15.75" customHeight="1">
      <c r="A680" s="122"/>
      <c r="B680" s="122"/>
      <c r="C680" s="122"/>
      <c r="D680" s="122"/>
      <c r="E680" s="122"/>
      <c r="F680" s="122"/>
      <c r="G680" s="122"/>
      <c r="H680" s="122"/>
      <c r="I680" s="122"/>
      <c r="J680" s="122"/>
      <c r="K680" s="122"/>
      <c r="L680" s="122"/>
      <c r="M680" s="123"/>
      <c r="N680" s="123"/>
      <c r="O680" s="122"/>
      <c r="P680" s="124"/>
      <c r="Q680" s="122"/>
      <c r="R680" s="122"/>
      <c r="S680" s="122"/>
      <c r="T680" s="122"/>
      <c r="U680" s="122"/>
      <c r="V680" s="124"/>
      <c r="W680" s="125"/>
      <c r="X680" s="122"/>
      <c r="Y680" s="122"/>
      <c r="Z680" s="122"/>
      <c r="AA680" s="126"/>
      <c r="AB680" s="122"/>
      <c r="AC680" s="122"/>
      <c r="AD680" s="127"/>
      <c r="AE680" s="127"/>
      <c r="AF680" s="127"/>
      <c r="AG680" s="127"/>
      <c r="AH680" s="124"/>
      <c r="AI680" s="127"/>
      <c r="AJ680" s="127"/>
      <c r="AK680" s="126"/>
      <c r="AL680" s="122"/>
      <c r="AM680" s="122"/>
      <c r="AN680" s="122"/>
      <c r="AO680" s="122"/>
      <c r="AP680" s="122"/>
      <c r="AQ680" s="124"/>
    </row>
    <row r="681" spans="1:43" ht="15.75" customHeight="1">
      <c r="A681" s="122"/>
      <c r="B681" s="122"/>
      <c r="C681" s="122"/>
      <c r="D681" s="122"/>
      <c r="E681" s="122"/>
      <c r="F681" s="122"/>
      <c r="G681" s="122"/>
      <c r="H681" s="122"/>
      <c r="I681" s="122"/>
      <c r="J681" s="122"/>
      <c r="K681" s="122"/>
      <c r="L681" s="122"/>
      <c r="M681" s="123"/>
      <c r="N681" s="123"/>
      <c r="O681" s="122"/>
      <c r="P681" s="124"/>
      <c r="Q681" s="122"/>
      <c r="R681" s="122"/>
      <c r="S681" s="122"/>
      <c r="T681" s="122"/>
      <c r="U681" s="122"/>
      <c r="V681" s="124"/>
      <c r="W681" s="125"/>
      <c r="X681" s="122"/>
      <c r="Y681" s="122"/>
      <c r="Z681" s="122"/>
      <c r="AA681" s="126"/>
      <c r="AB681" s="122"/>
      <c r="AC681" s="122"/>
      <c r="AD681" s="127"/>
      <c r="AE681" s="127"/>
      <c r="AF681" s="127"/>
      <c r="AG681" s="127"/>
      <c r="AH681" s="124"/>
      <c r="AI681" s="127"/>
      <c r="AJ681" s="127"/>
      <c r="AK681" s="126"/>
      <c r="AL681" s="122"/>
      <c r="AM681" s="122"/>
      <c r="AN681" s="122"/>
      <c r="AO681" s="122"/>
      <c r="AP681" s="122"/>
      <c r="AQ681" s="124"/>
    </row>
    <row r="682" spans="1:43" ht="15.75" customHeight="1">
      <c r="A682" s="122"/>
      <c r="B682" s="122"/>
      <c r="C682" s="122"/>
      <c r="D682" s="122"/>
      <c r="E682" s="122"/>
      <c r="F682" s="122"/>
      <c r="G682" s="122"/>
      <c r="H682" s="122"/>
      <c r="I682" s="122"/>
      <c r="J682" s="122"/>
      <c r="K682" s="122"/>
      <c r="L682" s="122"/>
      <c r="M682" s="123"/>
      <c r="N682" s="123"/>
      <c r="O682" s="122"/>
      <c r="P682" s="124"/>
      <c r="Q682" s="122"/>
      <c r="R682" s="122"/>
      <c r="S682" s="122"/>
      <c r="T682" s="122"/>
      <c r="U682" s="122"/>
      <c r="V682" s="124"/>
      <c r="W682" s="125"/>
      <c r="X682" s="122"/>
      <c r="Y682" s="122"/>
      <c r="Z682" s="122"/>
      <c r="AA682" s="126"/>
      <c r="AB682" s="122"/>
      <c r="AC682" s="122"/>
      <c r="AD682" s="127"/>
      <c r="AE682" s="127"/>
      <c r="AF682" s="127"/>
      <c r="AG682" s="127"/>
      <c r="AH682" s="124"/>
      <c r="AI682" s="127"/>
      <c r="AJ682" s="127"/>
      <c r="AK682" s="126"/>
      <c r="AL682" s="122"/>
      <c r="AM682" s="122"/>
      <c r="AN682" s="122"/>
      <c r="AO682" s="122"/>
      <c r="AP682" s="122"/>
      <c r="AQ682" s="124"/>
    </row>
    <row r="683" spans="1:43" ht="15.75" customHeight="1">
      <c r="A683" s="122"/>
      <c r="B683" s="122"/>
      <c r="C683" s="122"/>
      <c r="D683" s="122"/>
      <c r="E683" s="122"/>
      <c r="F683" s="122"/>
      <c r="G683" s="122"/>
      <c r="H683" s="122"/>
      <c r="I683" s="122"/>
      <c r="J683" s="122"/>
      <c r="K683" s="122"/>
      <c r="L683" s="122"/>
      <c r="M683" s="123"/>
      <c r="N683" s="123"/>
      <c r="O683" s="122"/>
      <c r="P683" s="124"/>
      <c r="Q683" s="122"/>
      <c r="R683" s="122"/>
      <c r="S683" s="122"/>
      <c r="T683" s="122"/>
      <c r="U683" s="122"/>
      <c r="V683" s="124"/>
      <c r="W683" s="125"/>
      <c r="X683" s="122"/>
      <c r="Y683" s="122"/>
      <c r="Z683" s="122"/>
      <c r="AA683" s="126"/>
      <c r="AB683" s="122"/>
      <c r="AC683" s="122"/>
      <c r="AD683" s="127"/>
      <c r="AE683" s="127"/>
      <c r="AF683" s="127"/>
      <c r="AG683" s="127"/>
      <c r="AH683" s="124"/>
      <c r="AI683" s="127"/>
      <c r="AJ683" s="127"/>
      <c r="AK683" s="126"/>
      <c r="AL683" s="122"/>
      <c r="AM683" s="122"/>
      <c r="AN683" s="122"/>
      <c r="AO683" s="122"/>
      <c r="AP683" s="122"/>
      <c r="AQ683" s="124"/>
    </row>
    <row r="684" spans="1:43" ht="15.75" customHeight="1">
      <c r="A684" s="122"/>
      <c r="B684" s="122"/>
      <c r="C684" s="122"/>
      <c r="D684" s="122"/>
      <c r="E684" s="122"/>
      <c r="F684" s="122"/>
      <c r="G684" s="122"/>
      <c r="H684" s="122"/>
      <c r="I684" s="122"/>
      <c r="J684" s="122"/>
      <c r="K684" s="122"/>
      <c r="L684" s="122"/>
      <c r="M684" s="123"/>
      <c r="N684" s="123"/>
      <c r="O684" s="122"/>
      <c r="P684" s="124"/>
      <c r="Q684" s="122"/>
      <c r="R684" s="122"/>
      <c r="S684" s="122"/>
      <c r="T684" s="122"/>
      <c r="U684" s="122"/>
      <c r="V684" s="124"/>
      <c r="W684" s="125"/>
      <c r="X684" s="122"/>
      <c r="Y684" s="122"/>
      <c r="Z684" s="122"/>
      <c r="AA684" s="126"/>
      <c r="AB684" s="122"/>
      <c r="AC684" s="122"/>
      <c r="AD684" s="127"/>
      <c r="AE684" s="127"/>
      <c r="AF684" s="127"/>
      <c r="AG684" s="127"/>
      <c r="AH684" s="124"/>
      <c r="AI684" s="127"/>
      <c r="AJ684" s="127"/>
      <c r="AK684" s="126"/>
      <c r="AL684" s="122"/>
      <c r="AM684" s="122"/>
      <c r="AN684" s="122"/>
      <c r="AO684" s="122"/>
      <c r="AP684" s="122"/>
      <c r="AQ684" s="124"/>
    </row>
    <row r="685" spans="1:43" ht="15.75" customHeight="1">
      <c r="A685" s="122"/>
      <c r="B685" s="122"/>
      <c r="C685" s="122"/>
      <c r="D685" s="122"/>
      <c r="E685" s="122"/>
      <c r="F685" s="122"/>
      <c r="G685" s="122"/>
      <c r="H685" s="122"/>
      <c r="I685" s="122"/>
      <c r="J685" s="122"/>
      <c r="K685" s="122"/>
      <c r="L685" s="122"/>
      <c r="M685" s="123"/>
      <c r="N685" s="123"/>
      <c r="O685" s="122"/>
      <c r="P685" s="124"/>
      <c r="Q685" s="122"/>
      <c r="R685" s="122"/>
      <c r="S685" s="122"/>
      <c r="T685" s="122"/>
      <c r="U685" s="122"/>
      <c r="V685" s="124"/>
      <c r="W685" s="125"/>
      <c r="X685" s="122"/>
      <c r="Y685" s="122"/>
      <c r="Z685" s="122"/>
      <c r="AA685" s="126"/>
      <c r="AB685" s="122"/>
      <c r="AC685" s="122"/>
      <c r="AD685" s="127"/>
      <c r="AE685" s="127"/>
      <c r="AF685" s="127"/>
      <c r="AG685" s="127"/>
      <c r="AH685" s="124"/>
      <c r="AI685" s="127"/>
      <c r="AJ685" s="127"/>
      <c r="AK685" s="126"/>
      <c r="AL685" s="122"/>
      <c r="AM685" s="122"/>
      <c r="AN685" s="122"/>
      <c r="AO685" s="122"/>
      <c r="AP685" s="122"/>
      <c r="AQ685" s="124"/>
    </row>
    <row r="686" spans="1:43" ht="15.75" customHeight="1">
      <c r="A686" s="122"/>
      <c r="B686" s="122"/>
      <c r="C686" s="122"/>
      <c r="D686" s="122"/>
      <c r="E686" s="122"/>
      <c r="F686" s="122"/>
      <c r="G686" s="122"/>
      <c r="H686" s="122"/>
      <c r="I686" s="122"/>
      <c r="J686" s="122"/>
      <c r="K686" s="122"/>
      <c r="L686" s="122"/>
      <c r="M686" s="123"/>
      <c r="N686" s="123"/>
      <c r="O686" s="122"/>
      <c r="P686" s="124"/>
      <c r="Q686" s="122"/>
      <c r="R686" s="122"/>
      <c r="S686" s="122"/>
      <c r="T686" s="122"/>
      <c r="U686" s="122"/>
      <c r="V686" s="124"/>
      <c r="W686" s="125"/>
      <c r="X686" s="122"/>
      <c r="Y686" s="122"/>
      <c r="Z686" s="122"/>
      <c r="AA686" s="126"/>
      <c r="AB686" s="122"/>
      <c r="AC686" s="122"/>
      <c r="AD686" s="127"/>
      <c r="AE686" s="127"/>
      <c r="AF686" s="127"/>
      <c r="AG686" s="127"/>
      <c r="AH686" s="124"/>
      <c r="AI686" s="127"/>
      <c r="AJ686" s="127"/>
      <c r="AK686" s="126"/>
      <c r="AL686" s="122"/>
      <c r="AM686" s="122"/>
      <c r="AN686" s="122"/>
      <c r="AO686" s="122"/>
      <c r="AP686" s="122"/>
      <c r="AQ686" s="124"/>
    </row>
    <row r="687" spans="1:43" ht="15.75" customHeight="1">
      <c r="A687" s="122"/>
      <c r="B687" s="122"/>
      <c r="C687" s="122"/>
      <c r="D687" s="122"/>
      <c r="E687" s="122"/>
      <c r="F687" s="122"/>
      <c r="G687" s="122"/>
      <c r="H687" s="122"/>
      <c r="I687" s="122"/>
      <c r="J687" s="122"/>
      <c r="K687" s="122"/>
      <c r="L687" s="122"/>
      <c r="M687" s="123"/>
      <c r="N687" s="123"/>
      <c r="O687" s="122"/>
      <c r="P687" s="124"/>
      <c r="Q687" s="122"/>
      <c r="R687" s="122"/>
      <c r="S687" s="122"/>
      <c r="T687" s="122"/>
      <c r="U687" s="122"/>
      <c r="V687" s="124"/>
      <c r="W687" s="125"/>
      <c r="X687" s="122"/>
      <c r="Y687" s="122"/>
      <c r="Z687" s="122"/>
      <c r="AA687" s="126"/>
      <c r="AB687" s="122"/>
      <c r="AC687" s="122"/>
      <c r="AD687" s="127"/>
      <c r="AE687" s="127"/>
      <c r="AF687" s="127"/>
      <c r="AG687" s="127"/>
      <c r="AH687" s="124"/>
      <c r="AI687" s="127"/>
      <c r="AJ687" s="127"/>
      <c r="AK687" s="126"/>
      <c r="AL687" s="122"/>
      <c r="AM687" s="122"/>
      <c r="AN687" s="122"/>
      <c r="AO687" s="122"/>
      <c r="AP687" s="122"/>
      <c r="AQ687" s="124"/>
    </row>
    <row r="688" spans="1:43" ht="15.75" customHeight="1">
      <c r="A688" s="122"/>
      <c r="B688" s="122"/>
      <c r="C688" s="122"/>
      <c r="D688" s="122"/>
      <c r="E688" s="122"/>
      <c r="F688" s="122"/>
      <c r="G688" s="122"/>
      <c r="H688" s="122"/>
      <c r="I688" s="122"/>
      <c r="J688" s="122"/>
      <c r="K688" s="122"/>
      <c r="L688" s="122"/>
      <c r="M688" s="123"/>
      <c r="N688" s="123"/>
      <c r="O688" s="122"/>
      <c r="P688" s="124"/>
      <c r="Q688" s="122"/>
      <c r="R688" s="122"/>
      <c r="S688" s="122"/>
      <c r="T688" s="122"/>
      <c r="U688" s="122"/>
      <c r="V688" s="124"/>
      <c r="W688" s="125"/>
      <c r="X688" s="122"/>
      <c r="Y688" s="122"/>
      <c r="Z688" s="122"/>
      <c r="AA688" s="126"/>
      <c r="AB688" s="122"/>
      <c r="AC688" s="122"/>
      <c r="AD688" s="127"/>
      <c r="AE688" s="127"/>
      <c r="AF688" s="127"/>
      <c r="AG688" s="127"/>
      <c r="AH688" s="124"/>
      <c r="AI688" s="127"/>
      <c r="AJ688" s="127"/>
      <c r="AK688" s="126"/>
      <c r="AL688" s="122"/>
      <c r="AM688" s="122"/>
      <c r="AN688" s="122"/>
      <c r="AO688" s="122"/>
      <c r="AP688" s="122"/>
      <c r="AQ688" s="124"/>
    </row>
    <row r="689" spans="1:43" ht="15.75" customHeight="1">
      <c r="A689" s="122"/>
      <c r="B689" s="122"/>
      <c r="C689" s="122"/>
      <c r="D689" s="122"/>
      <c r="E689" s="122"/>
      <c r="F689" s="122"/>
      <c r="G689" s="122"/>
      <c r="H689" s="122"/>
      <c r="I689" s="122"/>
      <c r="J689" s="122"/>
      <c r="K689" s="122"/>
      <c r="L689" s="122"/>
      <c r="M689" s="123"/>
      <c r="N689" s="123"/>
      <c r="O689" s="122"/>
      <c r="P689" s="124"/>
      <c r="Q689" s="122"/>
      <c r="R689" s="122"/>
      <c r="S689" s="122"/>
      <c r="T689" s="122"/>
      <c r="U689" s="122"/>
      <c r="V689" s="124"/>
      <c r="W689" s="125"/>
      <c r="X689" s="122"/>
      <c r="Y689" s="122"/>
      <c r="Z689" s="122"/>
      <c r="AA689" s="126"/>
      <c r="AB689" s="122"/>
      <c r="AC689" s="122"/>
      <c r="AD689" s="127"/>
      <c r="AE689" s="127"/>
      <c r="AF689" s="127"/>
      <c r="AG689" s="127"/>
      <c r="AH689" s="124"/>
      <c r="AI689" s="127"/>
      <c r="AJ689" s="127"/>
      <c r="AK689" s="126"/>
      <c r="AL689" s="122"/>
      <c r="AM689" s="122"/>
      <c r="AN689" s="122"/>
      <c r="AO689" s="122"/>
      <c r="AP689" s="122"/>
      <c r="AQ689" s="124"/>
    </row>
    <row r="690" spans="1:43" ht="15.75" customHeight="1">
      <c r="A690" s="122"/>
      <c r="B690" s="122"/>
      <c r="C690" s="122"/>
      <c r="D690" s="122"/>
      <c r="E690" s="122"/>
      <c r="F690" s="122"/>
      <c r="G690" s="122"/>
      <c r="H690" s="122"/>
      <c r="I690" s="122"/>
      <c r="J690" s="122"/>
      <c r="K690" s="122"/>
      <c r="L690" s="122"/>
      <c r="M690" s="123"/>
      <c r="N690" s="123"/>
      <c r="O690" s="122"/>
      <c r="P690" s="124"/>
      <c r="Q690" s="122"/>
      <c r="R690" s="122"/>
      <c r="S690" s="122"/>
      <c r="T690" s="122"/>
      <c r="U690" s="122"/>
      <c r="V690" s="124"/>
      <c r="W690" s="125"/>
      <c r="X690" s="122"/>
      <c r="Y690" s="122"/>
      <c r="Z690" s="122"/>
      <c r="AA690" s="126"/>
      <c r="AB690" s="122"/>
      <c r="AC690" s="122"/>
      <c r="AD690" s="127"/>
      <c r="AE690" s="127"/>
      <c r="AF690" s="127"/>
      <c r="AG690" s="127"/>
      <c r="AH690" s="124"/>
      <c r="AI690" s="127"/>
      <c r="AJ690" s="127"/>
      <c r="AK690" s="126"/>
      <c r="AL690" s="122"/>
      <c r="AM690" s="122"/>
      <c r="AN690" s="122"/>
      <c r="AO690" s="122"/>
      <c r="AP690" s="122"/>
      <c r="AQ690" s="124"/>
    </row>
    <row r="691" spans="1:43" ht="15.75" customHeight="1">
      <c r="A691" s="122"/>
      <c r="B691" s="122"/>
      <c r="C691" s="122"/>
      <c r="D691" s="122"/>
      <c r="E691" s="122"/>
      <c r="F691" s="122"/>
      <c r="G691" s="122"/>
      <c r="H691" s="122"/>
      <c r="I691" s="122"/>
      <c r="J691" s="122"/>
      <c r="K691" s="122"/>
      <c r="L691" s="122"/>
      <c r="M691" s="123"/>
      <c r="N691" s="123"/>
      <c r="O691" s="122"/>
      <c r="P691" s="124"/>
      <c r="Q691" s="122"/>
      <c r="R691" s="122"/>
      <c r="S691" s="122"/>
      <c r="T691" s="122"/>
      <c r="U691" s="122"/>
      <c r="V691" s="124"/>
      <c r="W691" s="125"/>
      <c r="X691" s="122"/>
      <c r="Y691" s="122"/>
      <c r="Z691" s="122"/>
      <c r="AA691" s="126"/>
      <c r="AB691" s="122"/>
      <c r="AC691" s="122"/>
      <c r="AD691" s="127"/>
      <c r="AE691" s="127"/>
      <c r="AF691" s="127"/>
      <c r="AG691" s="127"/>
      <c r="AH691" s="124"/>
      <c r="AI691" s="127"/>
      <c r="AJ691" s="127"/>
      <c r="AK691" s="126"/>
      <c r="AL691" s="122"/>
      <c r="AM691" s="122"/>
      <c r="AN691" s="122"/>
      <c r="AO691" s="122"/>
      <c r="AP691" s="122"/>
      <c r="AQ691" s="124"/>
    </row>
    <row r="692" spans="1:43" ht="15.75" customHeight="1">
      <c r="A692" s="122"/>
      <c r="B692" s="122"/>
      <c r="C692" s="122"/>
      <c r="D692" s="122"/>
      <c r="E692" s="122"/>
      <c r="F692" s="122"/>
      <c r="G692" s="122"/>
      <c r="H692" s="122"/>
      <c r="I692" s="122"/>
      <c r="J692" s="122"/>
      <c r="K692" s="122"/>
      <c r="L692" s="122"/>
      <c r="M692" s="123"/>
      <c r="N692" s="123"/>
      <c r="O692" s="122"/>
      <c r="P692" s="124"/>
      <c r="Q692" s="122"/>
      <c r="R692" s="122"/>
      <c r="S692" s="122"/>
      <c r="T692" s="122"/>
      <c r="U692" s="122"/>
      <c r="V692" s="124"/>
      <c r="W692" s="125"/>
      <c r="X692" s="122"/>
      <c r="Y692" s="122"/>
      <c r="Z692" s="122"/>
      <c r="AA692" s="126"/>
      <c r="AB692" s="122"/>
      <c r="AC692" s="122"/>
      <c r="AD692" s="127"/>
      <c r="AE692" s="127"/>
      <c r="AF692" s="127"/>
      <c r="AG692" s="127"/>
      <c r="AH692" s="124"/>
      <c r="AI692" s="127"/>
      <c r="AJ692" s="127"/>
      <c r="AK692" s="126"/>
      <c r="AL692" s="122"/>
      <c r="AM692" s="122"/>
      <c r="AN692" s="122"/>
      <c r="AO692" s="122"/>
      <c r="AP692" s="122"/>
      <c r="AQ692" s="124"/>
    </row>
    <row r="693" spans="1:43" ht="15.75" customHeight="1">
      <c r="A693" s="122"/>
      <c r="B693" s="122"/>
      <c r="C693" s="122"/>
      <c r="D693" s="122"/>
      <c r="E693" s="122"/>
      <c r="F693" s="122"/>
      <c r="G693" s="122"/>
      <c r="H693" s="122"/>
      <c r="I693" s="122"/>
      <c r="J693" s="122"/>
      <c r="K693" s="122"/>
      <c r="L693" s="122"/>
      <c r="M693" s="123"/>
      <c r="N693" s="123"/>
      <c r="O693" s="122"/>
      <c r="P693" s="124"/>
      <c r="Q693" s="122"/>
      <c r="R693" s="122"/>
      <c r="S693" s="122"/>
      <c r="T693" s="122"/>
      <c r="U693" s="122"/>
      <c r="V693" s="124"/>
      <c r="W693" s="125"/>
      <c r="X693" s="122"/>
      <c r="Y693" s="122"/>
      <c r="Z693" s="122"/>
      <c r="AA693" s="126"/>
      <c r="AB693" s="122"/>
      <c r="AC693" s="122"/>
      <c r="AD693" s="127"/>
      <c r="AE693" s="127"/>
      <c r="AF693" s="127"/>
      <c r="AG693" s="127"/>
      <c r="AH693" s="124"/>
      <c r="AI693" s="127"/>
      <c r="AJ693" s="127"/>
      <c r="AK693" s="126"/>
      <c r="AL693" s="122"/>
      <c r="AM693" s="122"/>
      <c r="AN693" s="122"/>
      <c r="AO693" s="122"/>
      <c r="AP693" s="122"/>
      <c r="AQ693" s="124"/>
    </row>
    <row r="694" spans="1:43" ht="15.75" customHeight="1">
      <c r="A694" s="122"/>
      <c r="B694" s="122"/>
      <c r="C694" s="122"/>
      <c r="D694" s="122"/>
      <c r="E694" s="122"/>
      <c r="F694" s="122"/>
      <c r="G694" s="122"/>
      <c r="H694" s="122"/>
      <c r="I694" s="122"/>
      <c r="J694" s="122"/>
      <c r="K694" s="122"/>
      <c r="L694" s="122"/>
      <c r="M694" s="123"/>
      <c r="N694" s="123"/>
      <c r="O694" s="122"/>
      <c r="P694" s="124"/>
      <c r="Q694" s="122"/>
      <c r="R694" s="122"/>
      <c r="S694" s="122"/>
      <c r="T694" s="122"/>
      <c r="U694" s="122"/>
      <c r="V694" s="124"/>
      <c r="W694" s="125"/>
      <c r="X694" s="122"/>
      <c r="Y694" s="122"/>
      <c r="Z694" s="122"/>
      <c r="AA694" s="126"/>
      <c r="AB694" s="122"/>
      <c r="AC694" s="122"/>
      <c r="AD694" s="127"/>
      <c r="AE694" s="127"/>
      <c r="AF694" s="127"/>
      <c r="AG694" s="127"/>
      <c r="AH694" s="124"/>
      <c r="AI694" s="127"/>
      <c r="AJ694" s="127"/>
      <c r="AK694" s="126"/>
      <c r="AL694" s="122"/>
      <c r="AM694" s="122"/>
      <c r="AN694" s="122"/>
      <c r="AO694" s="122"/>
      <c r="AP694" s="122"/>
      <c r="AQ694" s="124"/>
    </row>
    <row r="695" spans="1:43" ht="15.75" customHeight="1">
      <c r="A695" s="122"/>
      <c r="B695" s="122"/>
      <c r="C695" s="122"/>
      <c r="D695" s="122"/>
      <c r="E695" s="122"/>
      <c r="F695" s="122"/>
      <c r="G695" s="122"/>
      <c r="H695" s="122"/>
      <c r="I695" s="122"/>
      <c r="J695" s="122"/>
      <c r="K695" s="122"/>
      <c r="L695" s="122"/>
      <c r="M695" s="123"/>
      <c r="N695" s="123"/>
      <c r="O695" s="122"/>
      <c r="P695" s="124"/>
      <c r="Q695" s="122"/>
      <c r="R695" s="122"/>
      <c r="S695" s="122"/>
      <c r="T695" s="122"/>
      <c r="U695" s="122"/>
      <c r="V695" s="124"/>
      <c r="W695" s="125"/>
      <c r="X695" s="122"/>
      <c r="Y695" s="122"/>
      <c r="Z695" s="122"/>
      <c r="AA695" s="126"/>
      <c r="AB695" s="122"/>
      <c r="AC695" s="122"/>
      <c r="AD695" s="127"/>
      <c r="AE695" s="127"/>
      <c r="AF695" s="127"/>
      <c r="AG695" s="127"/>
      <c r="AH695" s="124"/>
      <c r="AI695" s="127"/>
      <c r="AJ695" s="127"/>
      <c r="AK695" s="126"/>
      <c r="AL695" s="122"/>
      <c r="AM695" s="122"/>
      <c r="AN695" s="122"/>
      <c r="AO695" s="122"/>
      <c r="AP695" s="122"/>
      <c r="AQ695" s="124"/>
    </row>
    <row r="696" spans="1:43" ht="15.75" customHeight="1">
      <c r="A696" s="122"/>
      <c r="B696" s="122"/>
      <c r="C696" s="122"/>
      <c r="D696" s="122"/>
      <c r="E696" s="122"/>
      <c r="F696" s="122"/>
      <c r="G696" s="122"/>
      <c r="H696" s="122"/>
      <c r="I696" s="122"/>
      <c r="J696" s="122"/>
      <c r="K696" s="122"/>
      <c r="L696" s="122"/>
      <c r="M696" s="123"/>
      <c r="N696" s="123"/>
      <c r="O696" s="122"/>
      <c r="P696" s="124"/>
      <c r="Q696" s="122"/>
      <c r="R696" s="122"/>
      <c r="S696" s="122"/>
      <c r="T696" s="122"/>
      <c r="U696" s="122"/>
      <c r="V696" s="124"/>
      <c r="W696" s="125"/>
      <c r="X696" s="122"/>
      <c r="Y696" s="122"/>
      <c r="Z696" s="122"/>
      <c r="AA696" s="126"/>
      <c r="AB696" s="122"/>
      <c r="AC696" s="122"/>
      <c r="AD696" s="127"/>
      <c r="AE696" s="127"/>
      <c r="AF696" s="127"/>
      <c r="AG696" s="127"/>
      <c r="AH696" s="124"/>
      <c r="AI696" s="127"/>
      <c r="AJ696" s="127"/>
      <c r="AK696" s="126"/>
      <c r="AL696" s="122"/>
      <c r="AM696" s="122"/>
      <c r="AN696" s="122"/>
      <c r="AO696" s="122"/>
      <c r="AP696" s="122"/>
      <c r="AQ696" s="124"/>
    </row>
    <row r="697" spans="1:43" ht="15.75" customHeight="1">
      <c r="A697" s="122"/>
      <c r="B697" s="122"/>
      <c r="C697" s="122"/>
      <c r="D697" s="122"/>
      <c r="E697" s="122"/>
      <c r="F697" s="122"/>
      <c r="G697" s="122"/>
      <c r="H697" s="122"/>
      <c r="I697" s="122"/>
      <c r="J697" s="122"/>
      <c r="K697" s="122"/>
      <c r="L697" s="122"/>
      <c r="M697" s="123"/>
      <c r="N697" s="123"/>
      <c r="O697" s="122"/>
      <c r="P697" s="124"/>
      <c r="Q697" s="122"/>
      <c r="R697" s="122"/>
      <c r="S697" s="122"/>
      <c r="T697" s="122"/>
      <c r="U697" s="122"/>
      <c r="V697" s="124"/>
      <c r="W697" s="125"/>
      <c r="X697" s="122"/>
      <c r="Y697" s="122"/>
      <c r="Z697" s="122"/>
      <c r="AA697" s="126"/>
      <c r="AB697" s="122"/>
      <c r="AC697" s="122"/>
      <c r="AD697" s="127"/>
      <c r="AE697" s="127"/>
      <c r="AF697" s="127"/>
      <c r="AG697" s="127"/>
      <c r="AH697" s="124"/>
      <c r="AI697" s="127"/>
      <c r="AJ697" s="127"/>
      <c r="AK697" s="126"/>
      <c r="AL697" s="122"/>
      <c r="AM697" s="122"/>
      <c r="AN697" s="122"/>
      <c r="AO697" s="122"/>
      <c r="AP697" s="122"/>
      <c r="AQ697" s="124"/>
    </row>
    <row r="698" spans="1:43" ht="15.75" customHeight="1">
      <c r="A698" s="122"/>
      <c r="B698" s="122"/>
      <c r="C698" s="122"/>
      <c r="D698" s="122"/>
      <c r="E698" s="122"/>
      <c r="F698" s="122"/>
      <c r="G698" s="122"/>
      <c r="H698" s="122"/>
      <c r="I698" s="122"/>
      <c r="J698" s="122"/>
      <c r="K698" s="122"/>
      <c r="L698" s="122"/>
      <c r="M698" s="123"/>
      <c r="N698" s="123"/>
      <c r="O698" s="122"/>
      <c r="P698" s="124"/>
      <c r="Q698" s="122"/>
      <c r="R698" s="122"/>
      <c r="S698" s="122"/>
      <c r="T698" s="122"/>
      <c r="U698" s="122"/>
      <c r="V698" s="124"/>
      <c r="W698" s="125"/>
      <c r="X698" s="122"/>
      <c r="Y698" s="122"/>
      <c r="Z698" s="122"/>
      <c r="AA698" s="126"/>
      <c r="AB698" s="122"/>
      <c r="AC698" s="122"/>
      <c r="AD698" s="127"/>
      <c r="AE698" s="127"/>
      <c r="AF698" s="127"/>
      <c r="AG698" s="127"/>
      <c r="AH698" s="124"/>
      <c r="AI698" s="127"/>
      <c r="AJ698" s="127"/>
      <c r="AK698" s="126"/>
      <c r="AL698" s="122"/>
      <c r="AM698" s="122"/>
      <c r="AN698" s="122"/>
      <c r="AO698" s="122"/>
      <c r="AP698" s="122"/>
      <c r="AQ698" s="124"/>
    </row>
    <row r="699" spans="1:43" ht="15.75" customHeight="1">
      <c r="A699" s="122"/>
      <c r="B699" s="122"/>
      <c r="C699" s="122"/>
      <c r="D699" s="122"/>
      <c r="E699" s="122"/>
      <c r="F699" s="122"/>
      <c r="G699" s="122"/>
      <c r="H699" s="122"/>
      <c r="I699" s="122"/>
      <c r="J699" s="122"/>
      <c r="K699" s="122"/>
      <c r="L699" s="122"/>
      <c r="M699" s="123"/>
      <c r="N699" s="123"/>
      <c r="O699" s="122"/>
      <c r="P699" s="124"/>
      <c r="Q699" s="122"/>
      <c r="R699" s="122"/>
      <c r="S699" s="122"/>
      <c r="T699" s="122"/>
      <c r="U699" s="122"/>
      <c r="V699" s="124"/>
      <c r="W699" s="125"/>
      <c r="X699" s="122"/>
      <c r="Y699" s="122"/>
      <c r="Z699" s="122"/>
      <c r="AA699" s="126"/>
      <c r="AB699" s="122"/>
      <c r="AC699" s="122"/>
      <c r="AD699" s="127"/>
      <c r="AE699" s="127"/>
      <c r="AF699" s="127"/>
      <c r="AG699" s="127"/>
      <c r="AH699" s="124"/>
      <c r="AI699" s="127"/>
      <c r="AJ699" s="127"/>
      <c r="AK699" s="126"/>
      <c r="AL699" s="122"/>
      <c r="AM699" s="122"/>
      <c r="AN699" s="122"/>
      <c r="AO699" s="122"/>
      <c r="AP699" s="122"/>
      <c r="AQ699" s="124"/>
    </row>
    <row r="700" spans="1:43" ht="15.75" customHeight="1">
      <c r="A700" s="122"/>
      <c r="B700" s="122"/>
      <c r="C700" s="122"/>
      <c r="D700" s="122"/>
      <c r="E700" s="122"/>
      <c r="F700" s="122"/>
      <c r="G700" s="122"/>
      <c r="H700" s="122"/>
      <c r="I700" s="122"/>
      <c r="J700" s="122"/>
      <c r="K700" s="122"/>
      <c r="L700" s="122"/>
      <c r="M700" s="123"/>
      <c r="N700" s="123"/>
      <c r="O700" s="122"/>
      <c r="P700" s="124"/>
      <c r="Q700" s="122"/>
      <c r="R700" s="122"/>
      <c r="S700" s="122"/>
      <c r="T700" s="122"/>
      <c r="U700" s="122"/>
      <c r="V700" s="124"/>
      <c r="W700" s="125"/>
      <c r="X700" s="122"/>
      <c r="Y700" s="122"/>
      <c r="Z700" s="122"/>
      <c r="AA700" s="126"/>
      <c r="AB700" s="122"/>
      <c r="AC700" s="122"/>
      <c r="AD700" s="127"/>
      <c r="AE700" s="127"/>
      <c r="AF700" s="127"/>
      <c r="AG700" s="127"/>
      <c r="AH700" s="124"/>
      <c r="AI700" s="127"/>
      <c r="AJ700" s="127"/>
      <c r="AK700" s="126"/>
      <c r="AL700" s="122"/>
      <c r="AM700" s="122"/>
      <c r="AN700" s="122"/>
      <c r="AO700" s="122"/>
      <c r="AP700" s="122"/>
      <c r="AQ700" s="124"/>
    </row>
    <row r="701" spans="1:43" ht="15.75" customHeight="1">
      <c r="A701" s="122"/>
      <c r="B701" s="122"/>
      <c r="C701" s="122"/>
      <c r="D701" s="122"/>
      <c r="E701" s="122"/>
      <c r="F701" s="122"/>
      <c r="G701" s="122"/>
      <c r="H701" s="122"/>
      <c r="I701" s="122"/>
      <c r="J701" s="122"/>
      <c r="K701" s="122"/>
      <c r="L701" s="122"/>
      <c r="M701" s="123"/>
      <c r="N701" s="123"/>
      <c r="O701" s="122"/>
      <c r="P701" s="124"/>
      <c r="Q701" s="122"/>
      <c r="R701" s="122"/>
      <c r="S701" s="122"/>
      <c r="T701" s="122"/>
      <c r="U701" s="122"/>
      <c r="V701" s="124"/>
      <c r="W701" s="125"/>
      <c r="X701" s="122"/>
      <c r="Y701" s="122"/>
      <c r="Z701" s="122"/>
      <c r="AA701" s="126"/>
      <c r="AB701" s="122"/>
      <c r="AC701" s="122"/>
      <c r="AD701" s="127"/>
      <c r="AE701" s="127"/>
      <c r="AF701" s="127"/>
      <c r="AG701" s="127"/>
      <c r="AH701" s="124"/>
      <c r="AI701" s="127"/>
      <c r="AJ701" s="127"/>
      <c r="AK701" s="126"/>
      <c r="AL701" s="122"/>
      <c r="AM701" s="122"/>
      <c r="AN701" s="122"/>
      <c r="AO701" s="122"/>
      <c r="AP701" s="122"/>
      <c r="AQ701" s="124"/>
    </row>
    <row r="702" spans="1:43" ht="15.75" customHeight="1">
      <c r="A702" s="122"/>
      <c r="B702" s="122"/>
      <c r="C702" s="122"/>
      <c r="D702" s="122"/>
      <c r="E702" s="122"/>
      <c r="F702" s="122"/>
      <c r="G702" s="122"/>
      <c r="H702" s="122"/>
      <c r="I702" s="122"/>
      <c r="J702" s="122"/>
      <c r="K702" s="122"/>
      <c r="L702" s="122"/>
      <c r="M702" s="123"/>
      <c r="N702" s="123"/>
      <c r="O702" s="122"/>
      <c r="P702" s="124"/>
      <c r="Q702" s="122"/>
      <c r="R702" s="122"/>
      <c r="S702" s="122"/>
      <c r="T702" s="122"/>
      <c r="U702" s="122"/>
      <c r="V702" s="124"/>
      <c r="W702" s="125"/>
      <c r="X702" s="122"/>
      <c r="Y702" s="122"/>
      <c r="Z702" s="122"/>
      <c r="AA702" s="126"/>
      <c r="AB702" s="122"/>
      <c r="AC702" s="122"/>
      <c r="AD702" s="127"/>
      <c r="AE702" s="127"/>
      <c r="AF702" s="127"/>
      <c r="AG702" s="127"/>
      <c r="AH702" s="124"/>
      <c r="AI702" s="127"/>
      <c r="AJ702" s="127"/>
      <c r="AK702" s="126"/>
      <c r="AL702" s="122"/>
      <c r="AM702" s="122"/>
      <c r="AN702" s="122"/>
      <c r="AO702" s="122"/>
      <c r="AP702" s="122"/>
      <c r="AQ702" s="124"/>
    </row>
    <row r="703" spans="1:43" ht="15.75" customHeight="1">
      <c r="A703" s="122"/>
      <c r="B703" s="122"/>
      <c r="C703" s="122"/>
      <c r="D703" s="122"/>
      <c r="E703" s="122"/>
      <c r="F703" s="122"/>
      <c r="G703" s="122"/>
      <c r="H703" s="122"/>
      <c r="I703" s="122"/>
      <c r="J703" s="122"/>
      <c r="K703" s="122"/>
      <c r="L703" s="122"/>
      <c r="M703" s="123"/>
      <c r="N703" s="123"/>
      <c r="O703" s="122"/>
      <c r="P703" s="124"/>
      <c r="Q703" s="122"/>
      <c r="R703" s="122"/>
      <c r="S703" s="122"/>
      <c r="T703" s="122"/>
      <c r="U703" s="122"/>
      <c r="V703" s="124"/>
      <c r="W703" s="125"/>
      <c r="X703" s="122"/>
      <c r="Y703" s="122"/>
      <c r="Z703" s="122"/>
      <c r="AA703" s="126"/>
      <c r="AB703" s="122"/>
      <c r="AC703" s="122"/>
      <c r="AD703" s="127"/>
      <c r="AE703" s="127"/>
      <c r="AF703" s="127"/>
      <c r="AG703" s="127"/>
      <c r="AH703" s="124"/>
      <c r="AI703" s="127"/>
      <c r="AJ703" s="127"/>
      <c r="AK703" s="126"/>
      <c r="AL703" s="122"/>
      <c r="AM703" s="122"/>
      <c r="AN703" s="122"/>
      <c r="AO703" s="122"/>
      <c r="AP703" s="122"/>
      <c r="AQ703" s="124"/>
    </row>
    <row r="704" spans="1:43" ht="15.75" customHeight="1">
      <c r="A704" s="122"/>
      <c r="B704" s="122"/>
      <c r="C704" s="122"/>
      <c r="D704" s="122"/>
      <c r="E704" s="122"/>
      <c r="F704" s="122"/>
      <c r="G704" s="122"/>
      <c r="H704" s="122"/>
      <c r="I704" s="122"/>
      <c r="J704" s="122"/>
      <c r="K704" s="122"/>
      <c r="L704" s="122"/>
      <c r="M704" s="123"/>
      <c r="N704" s="123"/>
      <c r="O704" s="122"/>
      <c r="P704" s="124"/>
      <c r="Q704" s="122"/>
      <c r="R704" s="122"/>
      <c r="S704" s="122"/>
      <c r="T704" s="122"/>
      <c r="U704" s="122"/>
      <c r="V704" s="124"/>
      <c r="W704" s="125"/>
      <c r="X704" s="122"/>
      <c r="Y704" s="122"/>
      <c r="Z704" s="122"/>
      <c r="AA704" s="126"/>
      <c r="AB704" s="122"/>
      <c r="AC704" s="122"/>
      <c r="AD704" s="127"/>
      <c r="AE704" s="127"/>
      <c r="AF704" s="127"/>
      <c r="AG704" s="127"/>
      <c r="AH704" s="124"/>
      <c r="AI704" s="127"/>
      <c r="AJ704" s="127"/>
      <c r="AK704" s="126"/>
      <c r="AL704" s="122"/>
      <c r="AM704" s="122"/>
      <c r="AN704" s="122"/>
      <c r="AO704" s="122"/>
      <c r="AP704" s="122"/>
      <c r="AQ704" s="124"/>
    </row>
    <row r="705" spans="1:43" ht="15.75" customHeight="1">
      <c r="A705" s="122"/>
      <c r="B705" s="122"/>
      <c r="C705" s="122"/>
      <c r="D705" s="122"/>
      <c r="E705" s="122"/>
      <c r="F705" s="122"/>
      <c r="G705" s="122"/>
      <c r="H705" s="122"/>
      <c r="I705" s="122"/>
      <c r="J705" s="122"/>
      <c r="K705" s="122"/>
      <c r="L705" s="122"/>
      <c r="M705" s="123"/>
      <c r="N705" s="123"/>
      <c r="O705" s="122"/>
      <c r="P705" s="124"/>
      <c r="Q705" s="122"/>
      <c r="R705" s="122"/>
      <c r="S705" s="122"/>
      <c r="T705" s="122"/>
      <c r="U705" s="122"/>
      <c r="V705" s="124"/>
      <c r="W705" s="125"/>
      <c r="X705" s="122"/>
      <c r="Y705" s="122"/>
      <c r="Z705" s="122"/>
      <c r="AA705" s="126"/>
      <c r="AB705" s="122"/>
      <c r="AC705" s="122"/>
      <c r="AD705" s="127"/>
      <c r="AE705" s="127"/>
      <c r="AF705" s="127"/>
      <c r="AG705" s="127"/>
      <c r="AH705" s="124"/>
      <c r="AI705" s="127"/>
      <c r="AJ705" s="127"/>
      <c r="AK705" s="126"/>
      <c r="AL705" s="122"/>
      <c r="AM705" s="122"/>
      <c r="AN705" s="122"/>
      <c r="AO705" s="122"/>
      <c r="AP705" s="122"/>
      <c r="AQ705" s="124"/>
    </row>
    <row r="706" spans="1:43" ht="15.75" customHeight="1">
      <c r="A706" s="122"/>
      <c r="B706" s="122"/>
      <c r="C706" s="122"/>
      <c r="D706" s="122"/>
      <c r="E706" s="122"/>
      <c r="F706" s="122"/>
      <c r="G706" s="122"/>
      <c r="H706" s="122"/>
      <c r="I706" s="122"/>
      <c r="J706" s="122"/>
      <c r="K706" s="122"/>
      <c r="L706" s="122"/>
      <c r="M706" s="123"/>
      <c r="N706" s="123"/>
      <c r="O706" s="122"/>
      <c r="P706" s="124"/>
      <c r="Q706" s="122"/>
      <c r="R706" s="122"/>
      <c r="S706" s="122"/>
      <c r="T706" s="122"/>
      <c r="U706" s="122"/>
      <c r="V706" s="124"/>
      <c r="W706" s="125"/>
      <c r="X706" s="122"/>
      <c r="Y706" s="122"/>
      <c r="Z706" s="122"/>
      <c r="AA706" s="126"/>
      <c r="AB706" s="122"/>
      <c r="AC706" s="122"/>
      <c r="AD706" s="127"/>
      <c r="AE706" s="127"/>
      <c r="AF706" s="127"/>
      <c r="AG706" s="127"/>
      <c r="AH706" s="124"/>
      <c r="AI706" s="127"/>
      <c r="AJ706" s="127"/>
      <c r="AK706" s="126"/>
      <c r="AL706" s="122"/>
      <c r="AM706" s="122"/>
      <c r="AN706" s="122"/>
      <c r="AO706" s="122"/>
      <c r="AP706" s="122"/>
      <c r="AQ706" s="124"/>
    </row>
    <row r="707" spans="1:43" ht="15.75" customHeight="1">
      <c r="A707" s="122"/>
      <c r="B707" s="122"/>
      <c r="C707" s="122"/>
      <c r="D707" s="122"/>
      <c r="E707" s="122"/>
      <c r="F707" s="122"/>
      <c r="G707" s="122"/>
      <c r="H707" s="122"/>
      <c r="I707" s="122"/>
      <c r="J707" s="122"/>
      <c r="K707" s="122"/>
      <c r="L707" s="122"/>
      <c r="M707" s="123"/>
      <c r="N707" s="123"/>
      <c r="O707" s="122"/>
      <c r="P707" s="124"/>
      <c r="Q707" s="122"/>
      <c r="R707" s="122"/>
      <c r="S707" s="122"/>
      <c r="T707" s="122"/>
      <c r="U707" s="122"/>
      <c r="V707" s="124"/>
      <c r="W707" s="125"/>
      <c r="X707" s="122"/>
      <c r="Y707" s="122"/>
      <c r="Z707" s="122"/>
      <c r="AA707" s="126"/>
      <c r="AB707" s="122"/>
      <c r="AC707" s="122"/>
      <c r="AD707" s="127"/>
      <c r="AE707" s="127"/>
      <c r="AF707" s="127"/>
      <c r="AG707" s="127"/>
      <c r="AH707" s="124"/>
      <c r="AI707" s="127"/>
      <c r="AJ707" s="127"/>
      <c r="AK707" s="126"/>
      <c r="AL707" s="122"/>
      <c r="AM707" s="122"/>
      <c r="AN707" s="122"/>
      <c r="AO707" s="122"/>
      <c r="AP707" s="122"/>
      <c r="AQ707" s="124"/>
    </row>
    <row r="708" spans="1:43" ht="15.75" customHeight="1">
      <c r="A708" s="122"/>
      <c r="B708" s="122"/>
      <c r="C708" s="122"/>
      <c r="D708" s="122"/>
      <c r="E708" s="122"/>
      <c r="F708" s="122"/>
      <c r="G708" s="122"/>
      <c r="H708" s="122"/>
      <c r="I708" s="122"/>
      <c r="J708" s="122"/>
      <c r="K708" s="122"/>
      <c r="L708" s="122"/>
      <c r="M708" s="123"/>
      <c r="N708" s="123"/>
      <c r="O708" s="122"/>
      <c r="P708" s="124"/>
      <c r="Q708" s="122"/>
      <c r="R708" s="122"/>
      <c r="S708" s="122"/>
      <c r="T708" s="122"/>
      <c r="U708" s="122"/>
      <c r="V708" s="124"/>
      <c r="W708" s="125"/>
      <c r="X708" s="122"/>
      <c r="Y708" s="122"/>
      <c r="Z708" s="122"/>
      <c r="AA708" s="126"/>
      <c r="AB708" s="122"/>
      <c r="AC708" s="122"/>
      <c r="AD708" s="127"/>
      <c r="AE708" s="127"/>
      <c r="AF708" s="127"/>
      <c r="AG708" s="127"/>
      <c r="AH708" s="124"/>
      <c r="AI708" s="127"/>
      <c r="AJ708" s="127"/>
      <c r="AK708" s="126"/>
      <c r="AL708" s="122"/>
      <c r="AM708" s="122"/>
      <c r="AN708" s="122"/>
      <c r="AO708" s="122"/>
      <c r="AP708" s="122"/>
      <c r="AQ708" s="124"/>
    </row>
    <row r="709" spans="1:43" ht="15.75" customHeight="1">
      <c r="A709" s="122"/>
      <c r="B709" s="122"/>
      <c r="C709" s="122"/>
      <c r="D709" s="122"/>
      <c r="E709" s="122"/>
      <c r="F709" s="122"/>
      <c r="G709" s="122"/>
      <c r="H709" s="122"/>
      <c r="I709" s="122"/>
      <c r="J709" s="122"/>
      <c r="K709" s="122"/>
      <c r="L709" s="122"/>
      <c r="M709" s="123"/>
      <c r="N709" s="123"/>
      <c r="O709" s="122"/>
      <c r="P709" s="124"/>
      <c r="Q709" s="122"/>
      <c r="R709" s="122"/>
      <c r="S709" s="122"/>
      <c r="T709" s="122"/>
      <c r="U709" s="122"/>
      <c r="V709" s="124"/>
      <c r="W709" s="125"/>
      <c r="X709" s="122"/>
      <c r="Y709" s="122"/>
      <c r="Z709" s="122"/>
      <c r="AA709" s="126"/>
      <c r="AB709" s="122"/>
      <c r="AC709" s="122"/>
      <c r="AD709" s="127"/>
      <c r="AE709" s="127"/>
      <c r="AF709" s="127"/>
      <c r="AG709" s="127"/>
      <c r="AH709" s="124"/>
      <c r="AI709" s="127"/>
      <c r="AJ709" s="127"/>
      <c r="AK709" s="126"/>
      <c r="AL709" s="122"/>
      <c r="AM709" s="122"/>
      <c r="AN709" s="122"/>
      <c r="AO709" s="122"/>
      <c r="AP709" s="122"/>
      <c r="AQ709" s="124"/>
    </row>
    <row r="710" spans="1:43" ht="15.75" customHeight="1">
      <c r="A710" s="122"/>
      <c r="B710" s="122"/>
      <c r="C710" s="122"/>
      <c r="D710" s="122"/>
      <c r="E710" s="122"/>
      <c r="F710" s="122"/>
      <c r="G710" s="122"/>
      <c r="H710" s="122"/>
      <c r="I710" s="122"/>
      <c r="J710" s="122"/>
      <c r="K710" s="122"/>
      <c r="L710" s="122"/>
      <c r="M710" s="123"/>
      <c r="N710" s="123"/>
      <c r="O710" s="122"/>
      <c r="P710" s="124"/>
      <c r="Q710" s="122"/>
      <c r="R710" s="122"/>
      <c r="S710" s="122"/>
      <c r="T710" s="122"/>
      <c r="U710" s="122"/>
      <c r="V710" s="124"/>
      <c r="W710" s="125"/>
      <c r="X710" s="122"/>
      <c r="Y710" s="122"/>
      <c r="Z710" s="122"/>
      <c r="AA710" s="126"/>
      <c r="AB710" s="122"/>
      <c r="AC710" s="122"/>
      <c r="AD710" s="127"/>
      <c r="AE710" s="127"/>
      <c r="AF710" s="127"/>
      <c r="AG710" s="127"/>
      <c r="AH710" s="124"/>
      <c r="AI710" s="127"/>
      <c r="AJ710" s="127"/>
      <c r="AK710" s="126"/>
      <c r="AL710" s="122"/>
      <c r="AM710" s="122"/>
      <c r="AN710" s="122"/>
      <c r="AO710" s="122"/>
      <c r="AP710" s="122"/>
      <c r="AQ710" s="124"/>
    </row>
    <row r="711" spans="1:43" ht="15.75" customHeight="1">
      <c r="A711" s="122"/>
      <c r="B711" s="122"/>
      <c r="C711" s="122"/>
      <c r="D711" s="122"/>
      <c r="E711" s="122"/>
      <c r="F711" s="122"/>
      <c r="G711" s="122"/>
      <c r="H711" s="122"/>
      <c r="I711" s="122"/>
      <c r="J711" s="122"/>
      <c r="K711" s="122"/>
      <c r="L711" s="122"/>
      <c r="M711" s="123"/>
      <c r="N711" s="123"/>
      <c r="O711" s="122"/>
      <c r="P711" s="124"/>
      <c r="Q711" s="122"/>
      <c r="R711" s="122"/>
      <c r="S711" s="122"/>
      <c r="T711" s="122"/>
      <c r="U711" s="122"/>
      <c r="V711" s="124"/>
      <c r="W711" s="125"/>
      <c r="X711" s="122"/>
      <c r="Y711" s="122"/>
      <c r="Z711" s="122"/>
      <c r="AA711" s="126"/>
      <c r="AB711" s="122"/>
      <c r="AC711" s="122"/>
      <c r="AD711" s="127"/>
      <c r="AE711" s="127"/>
      <c r="AF711" s="127"/>
      <c r="AG711" s="127"/>
      <c r="AH711" s="124"/>
      <c r="AI711" s="127"/>
      <c r="AJ711" s="127"/>
      <c r="AK711" s="126"/>
      <c r="AL711" s="122"/>
      <c r="AM711" s="122"/>
      <c r="AN711" s="122"/>
      <c r="AO711" s="122"/>
      <c r="AP711" s="122"/>
      <c r="AQ711" s="124"/>
    </row>
    <row r="712" spans="1:43" ht="15.75" customHeight="1">
      <c r="A712" s="122"/>
      <c r="B712" s="122"/>
      <c r="C712" s="122"/>
      <c r="D712" s="122"/>
      <c r="E712" s="122"/>
      <c r="F712" s="122"/>
      <c r="G712" s="122"/>
      <c r="H712" s="122"/>
      <c r="I712" s="122"/>
      <c r="J712" s="122"/>
      <c r="K712" s="122"/>
      <c r="L712" s="122"/>
      <c r="M712" s="123"/>
      <c r="N712" s="123"/>
      <c r="O712" s="122"/>
      <c r="P712" s="124"/>
      <c r="Q712" s="122"/>
      <c r="R712" s="122"/>
      <c r="S712" s="122"/>
      <c r="T712" s="122"/>
      <c r="U712" s="122"/>
      <c r="V712" s="124"/>
      <c r="W712" s="125"/>
      <c r="X712" s="122"/>
      <c r="Y712" s="122"/>
      <c r="Z712" s="122"/>
      <c r="AA712" s="126"/>
      <c r="AB712" s="122"/>
      <c r="AC712" s="122"/>
      <c r="AD712" s="127"/>
      <c r="AE712" s="127"/>
      <c r="AF712" s="127"/>
      <c r="AG712" s="127"/>
      <c r="AH712" s="124"/>
      <c r="AI712" s="127"/>
      <c r="AJ712" s="127"/>
      <c r="AK712" s="126"/>
      <c r="AL712" s="122"/>
      <c r="AM712" s="122"/>
      <c r="AN712" s="122"/>
      <c r="AO712" s="122"/>
      <c r="AP712" s="122"/>
      <c r="AQ712" s="124"/>
    </row>
    <row r="713" spans="1:43" ht="15.75" customHeight="1">
      <c r="A713" s="122"/>
      <c r="B713" s="122"/>
      <c r="C713" s="122"/>
      <c r="D713" s="122"/>
      <c r="E713" s="122"/>
      <c r="F713" s="122"/>
      <c r="G713" s="122"/>
      <c r="H713" s="122"/>
      <c r="I713" s="122"/>
      <c r="J713" s="122"/>
      <c r="K713" s="122"/>
      <c r="L713" s="122"/>
      <c r="M713" s="123"/>
      <c r="N713" s="123"/>
      <c r="O713" s="122"/>
      <c r="P713" s="124"/>
      <c r="Q713" s="122"/>
      <c r="R713" s="122"/>
      <c r="S713" s="122"/>
      <c r="T713" s="122"/>
      <c r="U713" s="122"/>
      <c r="V713" s="124"/>
      <c r="W713" s="125"/>
      <c r="X713" s="122"/>
      <c r="Y713" s="122"/>
      <c r="Z713" s="122"/>
      <c r="AA713" s="126"/>
      <c r="AB713" s="122"/>
      <c r="AC713" s="122"/>
      <c r="AD713" s="127"/>
      <c r="AE713" s="127"/>
      <c r="AF713" s="127"/>
      <c r="AG713" s="127"/>
      <c r="AH713" s="124"/>
      <c r="AI713" s="127"/>
      <c r="AJ713" s="127"/>
      <c r="AK713" s="126"/>
      <c r="AL713" s="122"/>
      <c r="AM713" s="122"/>
      <c r="AN713" s="122"/>
      <c r="AO713" s="122"/>
      <c r="AP713" s="122"/>
      <c r="AQ713" s="124"/>
    </row>
    <row r="714" spans="1:43" ht="15.75" customHeight="1">
      <c r="A714" s="122"/>
      <c r="B714" s="122"/>
      <c r="C714" s="122"/>
      <c r="D714" s="122"/>
      <c r="E714" s="122"/>
      <c r="F714" s="122"/>
      <c r="G714" s="122"/>
      <c r="H714" s="122"/>
      <c r="I714" s="122"/>
      <c r="J714" s="122"/>
      <c r="K714" s="122"/>
      <c r="L714" s="122"/>
      <c r="M714" s="123"/>
      <c r="N714" s="123"/>
      <c r="O714" s="122"/>
      <c r="P714" s="124"/>
      <c r="Q714" s="122"/>
      <c r="R714" s="122"/>
      <c r="S714" s="122"/>
      <c r="T714" s="122"/>
      <c r="U714" s="122"/>
      <c r="V714" s="124"/>
      <c r="W714" s="125"/>
      <c r="X714" s="122"/>
      <c r="Y714" s="122"/>
      <c r="Z714" s="122"/>
      <c r="AA714" s="126"/>
      <c r="AB714" s="122"/>
      <c r="AC714" s="122"/>
      <c r="AD714" s="127"/>
      <c r="AE714" s="127"/>
      <c r="AF714" s="127"/>
      <c r="AG714" s="127"/>
      <c r="AH714" s="124"/>
      <c r="AI714" s="127"/>
      <c r="AJ714" s="127"/>
      <c r="AK714" s="126"/>
      <c r="AL714" s="122"/>
      <c r="AM714" s="122"/>
      <c r="AN714" s="122"/>
      <c r="AO714" s="122"/>
      <c r="AP714" s="122"/>
      <c r="AQ714" s="124"/>
    </row>
    <row r="715" spans="1:43" ht="15.75" customHeight="1">
      <c r="A715" s="122"/>
      <c r="B715" s="122"/>
      <c r="C715" s="122"/>
      <c r="D715" s="122"/>
      <c r="E715" s="122"/>
      <c r="F715" s="122"/>
      <c r="G715" s="122"/>
      <c r="H715" s="122"/>
      <c r="I715" s="122"/>
      <c r="J715" s="122"/>
      <c r="K715" s="122"/>
      <c r="L715" s="122"/>
      <c r="M715" s="123"/>
      <c r="N715" s="123"/>
      <c r="O715" s="122"/>
      <c r="P715" s="124"/>
      <c r="Q715" s="122"/>
      <c r="R715" s="122"/>
      <c r="S715" s="122"/>
      <c r="T715" s="122"/>
      <c r="U715" s="122"/>
      <c r="V715" s="124"/>
      <c r="W715" s="125"/>
      <c r="X715" s="122"/>
      <c r="Y715" s="122"/>
      <c r="Z715" s="122"/>
      <c r="AA715" s="126"/>
      <c r="AB715" s="122"/>
      <c r="AC715" s="122"/>
      <c r="AD715" s="127"/>
      <c r="AE715" s="127"/>
      <c r="AF715" s="127"/>
      <c r="AG715" s="127"/>
      <c r="AH715" s="124"/>
      <c r="AI715" s="127"/>
      <c r="AJ715" s="127"/>
      <c r="AK715" s="126"/>
      <c r="AL715" s="122"/>
      <c r="AM715" s="122"/>
      <c r="AN715" s="122"/>
      <c r="AO715" s="122"/>
      <c r="AP715" s="122"/>
      <c r="AQ715" s="124"/>
    </row>
    <row r="716" spans="1:43" ht="15.75" customHeight="1">
      <c r="A716" s="122"/>
      <c r="B716" s="122"/>
      <c r="C716" s="122"/>
      <c r="D716" s="122"/>
      <c r="E716" s="122"/>
      <c r="F716" s="122"/>
      <c r="G716" s="122"/>
      <c r="H716" s="122"/>
      <c r="I716" s="122"/>
      <c r="J716" s="122"/>
      <c r="K716" s="122"/>
      <c r="L716" s="122"/>
      <c r="M716" s="123"/>
      <c r="N716" s="123"/>
      <c r="O716" s="122"/>
      <c r="P716" s="124"/>
      <c r="Q716" s="122"/>
      <c r="R716" s="122"/>
      <c r="S716" s="122"/>
      <c r="T716" s="122"/>
      <c r="U716" s="122"/>
      <c r="V716" s="124"/>
      <c r="W716" s="125"/>
      <c r="X716" s="122"/>
      <c r="Y716" s="122"/>
      <c r="Z716" s="122"/>
      <c r="AA716" s="126"/>
      <c r="AB716" s="122"/>
      <c r="AC716" s="122"/>
      <c r="AD716" s="127"/>
      <c r="AE716" s="127"/>
      <c r="AF716" s="127"/>
      <c r="AG716" s="127"/>
      <c r="AH716" s="124"/>
      <c r="AI716" s="127"/>
      <c r="AJ716" s="127"/>
      <c r="AK716" s="126"/>
      <c r="AL716" s="122"/>
      <c r="AM716" s="122"/>
      <c r="AN716" s="122"/>
      <c r="AO716" s="122"/>
      <c r="AP716" s="122"/>
      <c r="AQ716" s="124"/>
    </row>
    <row r="717" spans="1:43" ht="15.75" customHeight="1">
      <c r="A717" s="122"/>
      <c r="B717" s="122"/>
      <c r="C717" s="122"/>
      <c r="D717" s="122"/>
      <c r="E717" s="122"/>
      <c r="F717" s="122"/>
      <c r="G717" s="122"/>
      <c r="H717" s="122"/>
      <c r="I717" s="122"/>
      <c r="J717" s="122"/>
      <c r="K717" s="122"/>
      <c r="L717" s="122"/>
      <c r="M717" s="123"/>
      <c r="N717" s="123"/>
      <c r="O717" s="122"/>
      <c r="P717" s="124"/>
      <c r="Q717" s="122"/>
      <c r="R717" s="122"/>
      <c r="S717" s="122"/>
      <c r="T717" s="122"/>
      <c r="U717" s="122"/>
      <c r="V717" s="124"/>
      <c r="W717" s="125"/>
      <c r="X717" s="122"/>
      <c r="Y717" s="122"/>
      <c r="Z717" s="122"/>
      <c r="AA717" s="126"/>
      <c r="AB717" s="122"/>
      <c r="AC717" s="122"/>
      <c r="AD717" s="127"/>
      <c r="AE717" s="127"/>
      <c r="AF717" s="127"/>
      <c r="AG717" s="127"/>
      <c r="AH717" s="124"/>
      <c r="AI717" s="127"/>
      <c r="AJ717" s="127"/>
      <c r="AK717" s="126"/>
      <c r="AL717" s="122"/>
      <c r="AM717" s="122"/>
      <c r="AN717" s="122"/>
      <c r="AO717" s="122"/>
      <c r="AP717" s="122"/>
      <c r="AQ717" s="124"/>
    </row>
    <row r="718" spans="1:43" ht="15.75" customHeight="1">
      <c r="A718" s="122"/>
      <c r="B718" s="122"/>
      <c r="C718" s="122"/>
      <c r="D718" s="122"/>
      <c r="E718" s="122"/>
      <c r="F718" s="122"/>
      <c r="G718" s="122"/>
      <c r="H718" s="122"/>
      <c r="I718" s="122"/>
      <c r="J718" s="122"/>
      <c r="K718" s="122"/>
      <c r="L718" s="122"/>
      <c r="M718" s="123"/>
      <c r="N718" s="123"/>
      <c r="O718" s="122"/>
      <c r="P718" s="124"/>
      <c r="Q718" s="122"/>
      <c r="R718" s="122"/>
      <c r="S718" s="122"/>
      <c r="T718" s="122"/>
      <c r="U718" s="122"/>
      <c r="V718" s="124"/>
      <c r="W718" s="125"/>
      <c r="X718" s="122"/>
      <c r="Y718" s="122"/>
      <c r="Z718" s="122"/>
      <c r="AA718" s="126"/>
      <c r="AB718" s="122"/>
      <c r="AC718" s="122"/>
      <c r="AD718" s="127"/>
      <c r="AE718" s="127"/>
      <c r="AF718" s="127"/>
      <c r="AG718" s="127"/>
      <c r="AH718" s="124"/>
      <c r="AI718" s="127"/>
      <c r="AJ718" s="127"/>
      <c r="AK718" s="126"/>
      <c r="AL718" s="122"/>
      <c r="AM718" s="122"/>
      <c r="AN718" s="122"/>
      <c r="AO718" s="122"/>
      <c r="AP718" s="122"/>
      <c r="AQ718" s="124"/>
    </row>
    <row r="719" spans="1:43" ht="15.75" customHeight="1">
      <c r="A719" s="122"/>
      <c r="B719" s="122"/>
      <c r="C719" s="122"/>
      <c r="D719" s="122"/>
      <c r="E719" s="122"/>
      <c r="F719" s="122"/>
      <c r="G719" s="122"/>
      <c r="H719" s="122"/>
      <c r="I719" s="122"/>
      <c r="J719" s="122"/>
      <c r="K719" s="122"/>
      <c r="L719" s="122"/>
      <c r="M719" s="123"/>
      <c r="N719" s="123"/>
      <c r="O719" s="122"/>
      <c r="P719" s="124"/>
      <c r="Q719" s="122"/>
      <c r="R719" s="122"/>
      <c r="S719" s="122"/>
      <c r="T719" s="122"/>
      <c r="U719" s="122"/>
      <c r="V719" s="124"/>
      <c r="W719" s="125"/>
      <c r="X719" s="122"/>
      <c r="Y719" s="122"/>
      <c r="Z719" s="122"/>
      <c r="AA719" s="126"/>
      <c r="AB719" s="122"/>
      <c r="AC719" s="122"/>
      <c r="AD719" s="127"/>
      <c r="AE719" s="127"/>
      <c r="AF719" s="127"/>
      <c r="AG719" s="127"/>
      <c r="AH719" s="124"/>
      <c r="AI719" s="127"/>
      <c r="AJ719" s="127"/>
      <c r="AK719" s="126"/>
      <c r="AL719" s="122"/>
      <c r="AM719" s="122"/>
      <c r="AN719" s="122"/>
      <c r="AO719" s="122"/>
      <c r="AP719" s="122"/>
      <c r="AQ719" s="124"/>
    </row>
    <row r="720" spans="1:43" ht="15.75" customHeight="1">
      <c r="A720" s="122"/>
      <c r="B720" s="122"/>
      <c r="C720" s="122"/>
      <c r="D720" s="122"/>
      <c r="E720" s="122"/>
      <c r="F720" s="122"/>
      <c r="G720" s="122"/>
      <c r="H720" s="122"/>
      <c r="I720" s="122"/>
      <c r="J720" s="122"/>
      <c r="K720" s="122"/>
      <c r="L720" s="122"/>
      <c r="M720" s="123"/>
      <c r="N720" s="123"/>
      <c r="O720" s="122"/>
      <c r="P720" s="124"/>
      <c r="Q720" s="122"/>
      <c r="R720" s="122"/>
      <c r="S720" s="122"/>
      <c r="T720" s="122"/>
      <c r="U720" s="122"/>
      <c r="V720" s="124"/>
      <c r="W720" s="125"/>
      <c r="X720" s="122"/>
      <c r="Y720" s="122"/>
      <c r="Z720" s="122"/>
      <c r="AA720" s="126"/>
      <c r="AB720" s="122"/>
      <c r="AC720" s="122"/>
      <c r="AD720" s="127"/>
      <c r="AE720" s="127"/>
      <c r="AF720" s="127"/>
      <c r="AG720" s="127"/>
      <c r="AH720" s="124"/>
      <c r="AI720" s="127"/>
      <c r="AJ720" s="127"/>
      <c r="AK720" s="126"/>
      <c r="AL720" s="122"/>
      <c r="AM720" s="122"/>
      <c r="AN720" s="122"/>
      <c r="AO720" s="122"/>
      <c r="AP720" s="122"/>
      <c r="AQ720" s="124"/>
    </row>
    <row r="721" spans="1:43" ht="15.75" customHeight="1">
      <c r="A721" s="122"/>
      <c r="B721" s="122"/>
      <c r="C721" s="122"/>
      <c r="D721" s="122"/>
      <c r="E721" s="122"/>
      <c r="F721" s="122"/>
      <c r="G721" s="122"/>
      <c r="H721" s="122"/>
      <c r="I721" s="122"/>
      <c r="J721" s="122"/>
      <c r="K721" s="122"/>
      <c r="L721" s="122"/>
      <c r="M721" s="123"/>
      <c r="N721" s="123"/>
      <c r="O721" s="122"/>
      <c r="P721" s="124"/>
      <c r="Q721" s="122"/>
      <c r="R721" s="122"/>
      <c r="S721" s="122"/>
      <c r="T721" s="122"/>
      <c r="U721" s="122"/>
      <c r="V721" s="124"/>
      <c r="W721" s="125"/>
      <c r="X721" s="122"/>
      <c r="Y721" s="122"/>
      <c r="Z721" s="122"/>
      <c r="AA721" s="126"/>
      <c r="AB721" s="122"/>
      <c r="AC721" s="122"/>
      <c r="AD721" s="127"/>
      <c r="AE721" s="127"/>
      <c r="AF721" s="127"/>
      <c r="AG721" s="127"/>
      <c r="AH721" s="124"/>
      <c r="AI721" s="127"/>
      <c r="AJ721" s="127"/>
      <c r="AK721" s="126"/>
      <c r="AL721" s="122"/>
      <c r="AM721" s="122"/>
      <c r="AN721" s="122"/>
      <c r="AO721" s="122"/>
      <c r="AP721" s="122"/>
      <c r="AQ721" s="124"/>
    </row>
    <row r="722" spans="1:43" ht="15.75" customHeight="1">
      <c r="A722" s="122"/>
      <c r="B722" s="122"/>
      <c r="C722" s="122"/>
      <c r="D722" s="122"/>
      <c r="E722" s="122"/>
      <c r="F722" s="122"/>
      <c r="G722" s="122"/>
      <c r="H722" s="122"/>
      <c r="I722" s="122"/>
      <c r="J722" s="122"/>
      <c r="K722" s="122"/>
      <c r="L722" s="122"/>
      <c r="M722" s="123"/>
      <c r="N722" s="123"/>
      <c r="O722" s="122"/>
      <c r="P722" s="124"/>
      <c r="Q722" s="122"/>
      <c r="R722" s="122"/>
      <c r="S722" s="122"/>
      <c r="T722" s="122"/>
      <c r="U722" s="122"/>
      <c r="V722" s="124"/>
      <c r="W722" s="125"/>
      <c r="X722" s="122"/>
      <c r="Y722" s="122"/>
      <c r="Z722" s="122"/>
      <c r="AA722" s="126"/>
      <c r="AB722" s="122"/>
      <c r="AC722" s="122"/>
      <c r="AD722" s="127"/>
      <c r="AE722" s="127"/>
      <c r="AF722" s="127"/>
      <c r="AG722" s="127"/>
      <c r="AH722" s="124"/>
      <c r="AI722" s="127"/>
      <c r="AJ722" s="127"/>
      <c r="AK722" s="126"/>
      <c r="AL722" s="122"/>
      <c r="AM722" s="122"/>
      <c r="AN722" s="122"/>
      <c r="AO722" s="122"/>
      <c r="AP722" s="122"/>
      <c r="AQ722" s="124"/>
    </row>
    <row r="723" spans="1:43" ht="15.75" customHeight="1">
      <c r="A723" s="122"/>
      <c r="B723" s="122"/>
      <c r="C723" s="122"/>
      <c r="D723" s="122"/>
      <c r="E723" s="122"/>
      <c r="F723" s="122"/>
      <c r="G723" s="122"/>
      <c r="H723" s="122"/>
      <c r="I723" s="122"/>
      <c r="J723" s="122"/>
      <c r="K723" s="122"/>
      <c r="L723" s="122"/>
      <c r="M723" s="123"/>
      <c r="N723" s="123"/>
      <c r="O723" s="122"/>
      <c r="P723" s="124"/>
      <c r="Q723" s="122"/>
      <c r="R723" s="122"/>
      <c r="S723" s="122"/>
      <c r="T723" s="122"/>
      <c r="U723" s="122"/>
      <c r="V723" s="124"/>
      <c r="W723" s="125"/>
      <c r="X723" s="122"/>
      <c r="Y723" s="122"/>
      <c r="Z723" s="122"/>
      <c r="AA723" s="126"/>
      <c r="AB723" s="122"/>
      <c r="AC723" s="122"/>
      <c r="AD723" s="127"/>
      <c r="AE723" s="127"/>
      <c r="AF723" s="127"/>
      <c r="AG723" s="127"/>
      <c r="AH723" s="124"/>
      <c r="AI723" s="127"/>
      <c r="AJ723" s="127"/>
      <c r="AK723" s="126"/>
      <c r="AL723" s="122"/>
      <c r="AM723" s="122"/>
      <c r="AN723" s="122"/>
      <c r="AO723" s="122"/>
      <c r="AP723" s="122"/>
      <c r="AQ723" s="124"/>
    </row>
    <row r="724" spans="1:43" ht="15.75" customHeight="1">
      <c r="A724" s="122"/>
      <c r="B724" s="122"/>
      <c r="C724" s="122"/>
      <c r="D724" s="122"/>
      <c r="E724" s="122"/>
      <c r="F724" s="122"/>
      <c r="G724" s="122"/>
      <c r="H724" s="122"/>
      <c r="I724" s="122"/>
      <c r="J724" s="122"/>
      <c r="K724" s="122"/>
      <c r="L724" s="122"/>
      <c r="M724" s="123"/>
      <c r="N724" s="123"/>
      <c r="O724" s="122"/>
      <c r="P724" s="124"/>
      <c r="Q724" s="122"/>
      <c r="R724" s="122"/>
      <c r="S724" s="122"/>
      <c r="T724" s="122"/>
      <c r="U724" s="122"/>
      <c r="V724" s="124"/>
      <c r="W724" s="125"/>
      <c r="X724" s="122"/>
      <c r="Y724" s="122"/>
      <c r="Z724" s="122"/>
      <c r="AA724" s="126"/>
      <c r="AB724" s="122"/>
      <c r="AC724" s="122"/>
      <c r="AD724" s="127"/>
      <c r="AE724" s="127"/>
      <c r="AF724" s="127"/>
      <c r="AG724" s="127"/>
      <c r="AH724" s="124"/>
      <c r="AI724" s="127"/>
      <c r="AJ724" s="127"/>
      <c r="AK724" s="126"/>
      <c r="AL724" s="122"/>
      <c r="AM724" s="122"/>
      <c r="AN724" s="122"/>
      <c r="AO724" s="122"/>
      <c r="AP724" s="122"/>
      <c r="AQ724" s="124"/>
    </row>
    <row r="725" spans="1:43" ht="15.75" customHeight="1">
      <c r="A725" s="122"/>
      <c r="B725" s="122"/>
      <c r="C725" s="122"/>
      <c r="D725" s="122"/>
      <c r="E725" s="122"/>
      <c r="F725" s="122"/>
      <c r="G725" s="122"/>
      <c r="H725" s="122"/>
      <c r="I725" s="122"/>
      <c r="J725" s="122"/>
      <c r="K725" s="122"/>
      <c r="L725" s="122"/>
      <c r="M725" s="123"/>
      <c r="N725" s="123"/>
      <c r="O725" s="122"/>
      <c r="P725" s="124"/>
      <c r="Q725" s="122"/>
      <c r="R725" s="122"/>
      <c r="S725" s="122"/>
      <c r="T725" s="122"/>
      <c r="U725" s="122"/>
      <c r="V725" s="124"/>
      <c r="W725" s="125"/>
      <c r="X725" s="122"/>
      <c r="Y725" s="122"/>
      <c r="Z725" s="122"/>
      <c r="AA725" s="126"/>
      <c r="AB725" s="122"/>
      <c r="AC725" s="122"/>
      <c r="AD725" s="127"/>
      <c r="AE725" s="127"/>
      <c r="AF725" s="127"/>
      <c r="AG725" s="127"/>
      <c r="AH725" s="124"/>
      <c r="AI725" s="127"/>
      <c r="AJ725" s="127"/>
      <c r="AK725" s="126"/>
      <c r="AL725" s="122"/>
      <c r="AM725" s="122"/>
      <c r="AN725" s="122"/>
      <c r="AO725" s="122"/>
      <c r="AP725" s="122"/>
      <c r="AQ725" s="124"/>
    </row>
    <row r="726" spans="1:43" ht="15.75" customHeight="1">
      <c r="A726" s="122"/>
      <c r="B726" s="122"/>
      <c r="C726" s="122"/>
      <c r="D726" s="122"/>
      <c r="E726" s="122"/>
      <c r="F726" s="122"/>
      <c r="G726" s="122"/>
      <c r="H726" s="122"/>
      <c r="I726" s="122"/>
      <c r="J726" s="122"/>
      <c r="K726" s="122"/>
      <c r="L726" s="122"/>
      <c r="M726" s="123"/>
      <c r="N726" s="123"/>
      <c r="O726" s="122"/>
      <c r="P726" s="124"/>
      <c r="Q726" s="122"/>
      <c r="R726" s="122"/>
      <c r="S726" s="122"/>
      <c r="T726" s="122"/>
      <c r="U726" s="122"/>
      <c r="V726" s="124"/>
      <c r="W726" s="125"/>
      <c r="X726" s="122"/>
      <c r="Y726" s="122"/>
      <c r="Z726" s="122"/>
      <c r="AA726" s="126"/>
      <c r="AB726" s="122"/>
      <c r="AC726" s="122"/>
      <c r="AD726" s="127"/>
      <c r="AE726" s="127"/>
      <c r="AF726" s="127"/>
      <c r="AG726" s="127"/>
      <c r="AH726" s="124"/>
      <c r="AI726" s="127"/>
      <c r="AJ726" s="127"/>
      <c r="AK726" s="126"/>
      <c r="AL726" s="122"/>
      <c r="AM726" s="122"/>
      <c r="AN726" s="122"/>
      <c r="AO726" s="122"/>
      <c r="AP726" s="122"/>
      <c r="AQ726" s="124"/>
    </row>
    <row r="727" spans="1:43" ht="15.75" customHeight="1">
      <c r="A727" s="122"/>
      <c r="B727" s="122"/>
      <c r="C727" s="122"/>
      <c r="D727" s="122"/>
      <c r="E727" s="122"/>
      <c r="F727" s="122"/>
      <c r="G727" s="122"/>
      <c r="H727" s="122"/>
      <c r="I727" s="122"/>
      <c r="J727" s="122"/>
      <c r="K727" s="122"/>
      <c r="L727" s="122"/>
      <c r="M727" s="123"/>
      <c r="N727" s="123"/>
      <c r="O727" s="122"/>
      <c r="P727" s="124"/>
      <c r="Q727" s="122"/>
      <c r="R727" s="122"/>
      <c r="S727" s="122"/>
      <c r="T727" s="122"/>
      <c r="U727" s="122"/>
      <c r="V727" s="124"/>
      <c r="W727" s="125"/>
      <c r="X727" s="122"/>
      <c r="Y727" s="122"/>
      <c r="Z727" s="122"/>
      <c r="AA727" s="126"/>
      <c r="AB727" s="122"/>
      <c r="AC727" s="122"/>
      <c r="AD727" s="127"/>
      <c r="AE727" s="127"/>
      <c r="AF727" s="127"/>
      <c r="AG727" s="127"/>
      <c r="AH727" s="124"/>
      <c r="AI727" s="127"/>
      <c r="AJ727" s="127"/>
      <c r="AK727" s="126"/>
      <c r="AL727" s="122"/>
      <c r="AM727" s="122"/>
      <c r="AN727" s="122"/>
      <c r="AO727" s="122"/>
      <c r="AP727" s="122"/>
      <c r="AQ727" s="124"/>
    </row>
    <row r="728" spans="1:43" ht="15.75" customHeight="1">
      <c r="A728" s="122"/>
      <c r="B728" s="122"/>
      <c r="C728" s="122"/>
      <c r="D728" s="122"/>
      <c r="E728" s="122"/>
      <c r="F728" s="122"/>
      <c r="G728" s="122"/>
      <c r="H728" s="122"/>
      <c r="I728" s="122"/>
      <c r="J728" s="122"/>
      <c r="K728" s="122"/>
      <c r="L728" s="122"/>
      <c r="M728" s="123"/>
      <c r="N728" s="123"/>
      <c r="O728" s="122"/>
      <c r="P728" s="124"/>
      <c r="Q728" s="122"/>
      <c r="R728" s="122"/>
      <c r="S728" s="122"/>
      <c r="T728" s="122"/>
      <c r="U728" s="122"/>
      <c r="V728" s="124"/>
      <c r="W728" s="125"/>
      <c r="X728" s="122"/>
      <c r="Y728" s="122"/>
      <c r="Z728" s="122"/>
      <c r="AA728" s="126"/>
      <c r="AB728" s="122"/>
      <c r="AC728" s="122"/>
      <c r="AD728" s="127"/>
      <c r="AE728" s="127"/>
      <c r="AF728" s="127"/>
      <c r="AG728" s="127"/>
      <c r="AH728" s="124"/>
      <c r="AI728" s="127"/>
      <c r="AJ728" s="127"/>
      <c r="AK728" s="126"/>
      <c r="AL728" s="122"/>
      <c r="AM728" s="122"/>
      <c r="AN728" s="122"/>
      <c r="AO728" s="122"/>
      <c r="AP728" s="122"/>
      <c r="AQ728" s="124"/>
    </row>
    <row r="729" spans="1:43" ht="15.75" customHeight="1">
      <c r="A729" s="122"/>
      <c r="B729" s="122"/>
      <c r="C729" s="122"/>
      <c r="D729" s="122"/>
      <c r="E729" s="122"/>
      <c r="F729" s="122"/>
      <c r="G729" s="122"/>
      <c r="H729" s="122"/>
      <c r="I729" s="122"/>
      <c r="J729" s="122"/>
      <c r="K729" s="122"/>
      <c r="L729" s="122"/>
      <c r="M729" s="123"/>
      <c r="N729" s="123"/>
      <c r="O729" s="122"/>
      <c r="P729" s="124"/>
      <c r="Q729" s="122"/>
      <c r="R729" s="122"/>
      <c r="S729" s="122"/>
      <c r="T729" s="122"/>
      <c r="U729" s="122"/>
      <c r="V729" s="124"/>
      <c r="W729" s="125"/>
      <c r="X729" s="122"/>
      <c r="Y729" s="122"/>
      <c r="Z729" s="122"/>
      <c r="AA729" s="126"/>
      <c r="AB729" s="122"/>
      <c r="AC729" s="122"/>
      <c r="AD729" s="127"/>
      <c r="AE729" s="127"/>
      <c r="AF729" s="127"/>
      <c r="AG729" s="127"/>
      <c r="AH729" s="124"/>
      <c r="AI729" s="127"/>
      <c r="AJ729" s="127"/>
      <c r="AK729" s="126"/>
      <c r="AL729" s="122"/>
      <c r="AM729" s="122"/>
      <c r="AN729" s="122"/>
      <c r="AO729" s="122"/>
      <c r="AP729" s="122"/>
      <c r="AQ729" s="124"/>
    </row>
    <row r="730" spans="1:43" ht="15.75" customHeight="1">
      <c r="A730" s="122"/>
      <c r="B730" s="122"/>
      <c r="C730" s="122"/>
      <c r="D730" s="122"/>
      <c r="E730" s="122"/>
      <c r="F730" s="122"/>
      <c r="G730" s="122"/>
      <c r="H730" s="122"/>
      <c r="I730" s="122"/>
      <c r="J730" s="122"/>
      <c r="K730" s="122"/>
      <c r="L730" s="122"/>
      <c r="M730" s="123"/>
      <c r="N730" s="123"/>
      <c r="O730" s="122"/>
      <c r="P730" s="124"/>
      <c r="Q730" s="122"/>
      <c r="R730" s="122"/>
      <c r="S730" s="122"/>
      <c r="T730" s="122"/>
      <c r="U730" s="122"/>
      <c r="V730" s="124"/>
      <c r="W730" s="125"/>
      <c r="X730" s="122"/>
      <c r="Y730" s="122"/>
      <c r="Z730" s="122"/>
      <c r="AA730" s="126"/>
      <c r="AB730" s="122"/>
      <c r="AC730" s="122"/>
      <c r="AD730" s="127"/>
      <c r="AE730" s="127"/>
      <c r="AF730" s="127"/>
      <c r="AG730" s="127"/>
      <c r="AH730" s="124"/>
      <c r="AI730" s="127"/>
      <c r="AJ730" s="127"/>
      <c r="AK730" s="126"/>
      <c r="AL730" s="122"/>
      <c r="AM730" s="122"/>
      <c r="AN730" s="122"/>
      <c r="AO730" s="122"/>
      <c r="AP730" s="122"/>
      <c r="AQ730" s="124"/>
    </row>
    <row r="731" spans="1:43" ht="15.75" customHeight="1">
      <c r="A731" s="122"/>
      <c r="B731" s="122"/>
      <c r="C731" s="122"/>
      <c r="D731" s="122"/>
      <c r="E731" s="122"/>
      <c r="F731" s="122"/>
      <c r="G731" s="122"/>
      <c r="H731" s="122"/>
      <c r="I731" s="122"/>
      <c r="J731" s="122"/>
      <c r="K731" s="122"/>
      <c r="L731" s="122"/>
      <c r="M731" s="123"/>
      <c r="N731" s="123"/>
      <c r="O731" s="122"/>
      <c r="P731" s="124"/>
      <c r="Q731" s="122"/>
      <c r="R731" s="122"/>
      <c r="S731" s="122"/>
      <c r="T731" s="122"/>
      <c r="U731" s="122"/>
      <c r="V731" s="124"/>
      <c r="W731" s="125"/>
      <c r="X731" s="122"/>
      <c r="Y731" s="122"/>
      <c r="Z731" s="122"/>
      <c r="AA731" s="126"/>
      <c r="AB731" s="122"/>
      <c r="AC731" s="122"/>
      <c r="AD731" s="127"/>
      <c r="AE731" s="127"/>
      <c r="AF731" s="127"/>
      <c r="AG731" s="127"/>
      <c r="AH731" s="124"/>
      <c r="AI731" s="127"/>
      <c r="AJ731" s="127"/>
      <c r="AK731" s="126"/>
      <c r="AL731" s="122"/>
      <c r="AM731" s="122"/>
      <c r="AN731" s="122"/>
      <c r="AO731" s="122"/>
      <c r="AP731" s="122"/>
      <c r="AQ731" s="124"/>
    </row>
    <row r="732" spans="1:43" ht="15.75" customHeight="1">
      <c r="A732" s="122"/>
      <c r="B732" s="122"/>
      <c r="C732" s="122"/>
      <c r="D732" s="122"/>
      <c r="E732" s="122"/>
      <c r="F732" s="122"/>
      <c r="G732" s="122"/>
      <c r="H732" s="122"/>
      <c r="I732" s="122"/>
      <c r="J732" s="122"/>
      <c r="K732" s="122"/>
      <c r="L732" s="122"/>
      <c r="M732" s="123"/>
      <c r="N732" s="123"/>
      <c r="O732" s="122"/>
      <c r="P732" s="124"/>
      <c r="Q732" s="122"/>
      <c r="R732" s="122"/>
      <c r="S732" s="122"/>
      <c r="T732" s="122"/>
      <c r="U732" s="122"/>
      <c r="V732" s="124"/>
      <c r="W732" s="125"/>
      <c r="X732" s="122"/>
      <c r="Y732" s="122"/>
      <c r="Z732" s="122"/>
      <c r="AA732" s="126"/>
      <c r="AB732" s="122"/>
      <c r="AC732" s="122"/>
      <c r="AD732" s="127"/>
      <c r="AE732" s="127"/>
      <c r="AF732" s="127"/>
      <c r="AG732" s="127"/>
      <c r="AH732" s="124"/>
      <c r="AI732" s="127"/>
      <c r="AJ732" s="127"/>
      <c r="AK732" s="126"/>
      <c r="AL732" s="122"/>
      <c r="AM732" s="122"/>
      <c r="AN732" s="122"/>
      <c r="AO732" s="122"/>
      <c r="AP732" s="122"/>
      <c r="AQ732" s="124"/>
    </row>
    <row r="733" spans="1:43" ht="15.75" customHeight="1">
      <c r="A733" s="122"/>
      <c r="B733" s="122"/>
      <c r="C733" s="122"/>
      <c r="D733" s="122"/>
      <c r="E733" s="122"/>
      <c r="F733" s="122"/>
      <c r="G733" s="122"/>
      <c r="H733" s="122"/>
      <c r="I733" s="122"/>
      <c r="J733" s="122"/>
      <c r="K733" s="122"/>
      <c r="L733" s="122"/>
      <c r="M733" s="123"/>
      <c r="N733" s="123"/>
      <c r="O733" s="122"/>
      <c r="P733" s="124"/>
      <c r="Q733" s="122"/>
      <c r="R733" s="122"/>
      <c r="S733" s="122"/>
      <c r="T733" s="122"/>
      <c r="U733" s="122"/>
      <c r="V733" s="124"/>
      <c r="W733" s="125"/>
      <c r="X733" s="122"/>
      <c r="Y733" s="122"/>
      <c r="Z733" s="122"/>
      <c r="AA733" s="126"/>
      <c r="AB733" s="122"/>
      <c r="AC733" s="122"/>
      <c r="AD733" s="127"/>
      <c r="AE733" s="127"/>
      <c r="AF733" s="127"/>
      <c r="AG733" s="127"/>
      <c r="AH733" s="124"/>
      <c r="AI733" s="127"/>
      <c r="AJ733" s="127"/>
      <c r="AK733" s="126"/>
      <c r="AL733" s="122"/>
      <c r="AM733" s="122"/>
      <c r="AN733" s="122"/>
      <c r="AO733" s="122"/>
      <c r="AP733" s="122"/>
      <c r="AQ733" s="124"/>
    </row>
    <row r="734" spans="1:43" ht="15.75" customHeight="1">
      <c r="A734" s="122"/>
      <c r="B734" s="122"/>
      <c r="C734" s="122"/>
      <c r="D734" s="122"/>
      <c r="E734" s="122"/>
      <c r="F734" s="122"/>
      <c r="G734" s="122"/>
      <c r="H734" s="122"/>
      <c r="I734" s="122"/>
      <c r="J734" s="122"/>
      <c r="K734" s="122"/>
      <c r="L734" s="122"/>
      <c r="M734" s="123"/>
      <c r="N734" s="123"/>
      <c r="O734" s="122"/>
      <c r="P734" s="124"/>
      <c r="Q734" s="122"/>
      <c r="R734" s="122"/>
      <c r="S734" s="122"/>
      <c r="T734" s="122"/>
      <c r="U734" s="122"/>
      <c r="V734" s="124"/>
      <c r="W734" s="125"/>
      <c r="X734" s="122"/>
      <c r="Y734" s="122"/>
      <c r="Z734" s="122"/>
      <c r="AA734" s="126"/>
      <c r="AB734" s="122"/>
      <c r="AC734" s="122"/>
      <c r="AD734" s="127"/>
      <c r="AE734" s="127"/>
      <c r="AF734" s="127"/>
      <c r="AG734" s="127"/>
      <c r="AH734" s="124"/>
      <c r="AI734" s="127"/>
      <c r="AJ734" s="127"/>
      <c r="AK734" s="126"/>
      <c r="AL734" s="122"/>
      <c r="AM734" s="122"/>
      <c r="AN734" s="122"/>
      <c r="AO734" s="122"/>
      <c r="AP734" s="122"/>
      <c r="AQ734" s="124"/>
    </row>
    <row r="735" spans="1:43" ht="15.75" customHeight="1">
      <c r="A735" s="122"/>
      <c r="B735" s="122"/>
      <c r="C735" s="122"/>
      <c r="D735" s="122"/>
      <c r="E735" s="122"/>
      <c r="F735" s="122"/>
      <c r="G735" s="122"/>
      <c r="H735" s="122"/>
      <c r="I735" s="122"/>
      <c r="J735" s="122"/>
      <c r="K735" s="122"/>
      <c r="L735" s="122"/>
      <c r="M735" s="123"/>
      <c r="N735" s="123"/>
      <c r="O735" s="122"/>
      <c r="P735" s="124"/>
      <c r="Q735" s="122"/>
      <c r="R735" s="122"/>
      <c r="S735" s="122"/>
      <c r="T735" s="122"/>
      <c r="U735" s="122"/>
      <c r="V735" s="124"/>
      <c r="W735" s="125"/>
      <c r="X735" s="122"/>
      <c r="Y735" s="122"/>
      <c r="Z735" s="122"/>
      <c r="AA735" s="126"/>
      <c r="AB735" s="122"/>
      <c r="AC735" s="122"/>
      <c r="AD735" s="127"/>
      <c r="AE735" s="127"/>
      <c r="AF735" s="127"/>
      <c r="AG735" s="127"/>
      <c r="AH735" s="124"/>
      <c r="AI735" s="127"/>
      <c r="AJ735" s="127"/>
      <c r="AK735" s="126"/>
      <c r="AL735" s="122"/>
      <c r="AM735" s="122"/>
      <c r="AN735" s="122"/>
      <c r="AO735" s="122"/>
      <c r="AP735" s="122"/>
      <c r="AQ735" s="124"/>
    </row>
    <row r="736" spans="1:43" ht="15.75" customHeight="1">
      <c r="A736" s="122"/>
      <c r="B736" s="122"/>
      <c r="C736" s="122"/>
      <c r="D736" s="122"/>
      <c r="E736" s="122"/>
      <c r="F736" s="122"/>
      <c r="G736" s="122"/>
      <c r="H736" s="122"/>
      <c r="I736" s="122"/>
      <c r="J736" s="122"/>
      <c r="K736" s="122"/>
      <c r="L736" s="122"/>
      <c r="M736" s="123"/>
      <c r="N736" s="123"/>
      <c r="O736" s="122"/>
      <c r="P736" s="124"/>
      <c r="Q736" s="122"/>
      <c r="R736" s="122"/>
      <c r="S736" s="122"/>
      <c r="T736" s="122"/>
      <c r="U736" s="122"/>
      <c r="V736" s="124"/>
      <c r="W736" s="125"/>
      <c r="X736" s="122"/>
      <c r="Y736" s="122"/>
      <c r="Z736" s="122"/>
      <c r="AA736" s="126"/>
      <c r="AB736" s="122"/>
      <c r="AC736" s="122"/>
      <c r="AD736" s="127"/>
      <c r="AE736" s="127"/>
      <c r="AF736" s="127"/>
      <c r="AG736" s="127"/>
      <c r="AH736" s="124"/>
      <c r="AI736" s="127"/>
      <c r="AJ736" s="127"/>
      <c r="AK736" s="126"/>
      <c r="AL736" s="122"/>
      <c r="AM736" s="122"/>
      <c r="AN736" s="122"/>
      <c r="AO736" s="122"/>
      <c r="AP736" s="122"/>
      <c r="AQ736" s="124"/>
    </row>
    <row r="737" spans="1:43" ht="15.75" customHeight="1">
      <c r="A737" s="122"/>
      <c r="B737" s="122"/>
      <c r="C737" s="122"/>
      <c r="D737" s="122"/>
      <c r="E737" s="122"/>
      <c r="F737" s="122"/>
      <c r="G737" s="122"/>
      <c r="H737" s="122"/>
      <c r="I737" s="122"/>
      <c r="J737" s="122"/>
      <c r="K737" s="122"/>
      <c r="L737" s="122"/>
      <c r="M737" s="123"/>
      <c r="N737" s="123"/>
      <c r="O737" s="122"/>
      <c r="P737" s="124"/>
      <c r="Q737" s="122"/>
      <c r="R737" s="122"/>
      <c r="S737" s="122"/>
      <c r="T737" s="122"/>
      <c r="U737" s="122"/>
      <c r="V737" s="124"/>
      <c r="W737" s="125"/>
      <c r="X737" s="122"/>
      <c r="Y737" s="122"/>
      <c r="Z737" s="122"/>
      <c r="AA737" s="126"/>
      <c r="AB737" s="122"/>
      <c r="AC737" s="122"/>
      <c r="AD737" s="127"/>
      <c r="AE737" s="127"/>
      <c r="AF737" s="127"/>
      <c r="AG737" s="127"/>
      <c r="AH737" s="124"/>
      <c r="AI737" s="127"/>
      <c r="AJ737" s="127"/>
      <c r="AK737" s="126"/>
      <c r="AL737" s="122"/>
      <c r="AM737" s="122"/>
      <c r="AN737" s="122"/>
      <c r="AO737" s="122"/>
      <c r="AP737" s="122"/>
      <c r="AQ737" s="124"/>
    </row>
    <row r="738" spans="1:43" ht="15.75" customHeight="1">
      <c r="A738" s="122"/>
      <c r="B738" s="122"/>
      <c r="C738" s="122"/>
      <c r="D738" s="122"/>
      <c r="E738" s="122"/>
      <c r="F738" s="122"/>
      <c r="G738" s="122"/>
      <c r="H738" s="122"/>
      <c r="I738" s="122"/>
      <c r="J738" s="122"/>
      <c r="K738" s="122"/>
      <c r="L738" s="122"/>
      <c r="M738" s="123"/>
      <c r="N738" s="123"/>
      <c r="O738" s="122"/>
      <c r="P738" s="124"/>
      <c r="Q738" s="122"/>
      <c r="R738" s="122"/>
      <c r="S738" s="122"/>
      <c r="T738" s="122"/>
      <c r="U738" s="122"/>
      <c r="V738" s="124"/>
      <c r="W738" s="125"/>
      <c r="X738" s="122"/>
      <c r="Y738" s="122"/>
      <c r="Z738" s="122"/>
      <c r="AA738" s="126"/>
      <c r="AB738" s="122"/>
      <c r="AC738" s="122"/>
      <c r="AD738" s="127"/>
      <c r="AE738" s="127"/>
      <c r="AF738" s="127"/>
      <c r="AG738" s="127"/>
      <c r="AH738" s="124"/>
      <c r="AI738" s="127"/>
      <c r="AJ738" s="127"/>
      <c r="AK738" s="126"/>
      <c r="AL738" s="122"/>
      <c r="AM738" s="122"/>
      <c r="AN738" s="122"/>
      <c r="AO738" s="122"/>
      <c r="AP738" s="122"/>
      <c r="AQ738" s="124"/>
    </row>
    <row r="739" spans="1:43" ht="15.75" customHeight="1">
      <c r="A739" s="122"/>
      <c r="B739" s="122"/>
      <c r="C739" s="122"/>
      <c r="D739" s="122"/>
      <c r="E739" s="122"/>
      <c r="F739" s="122"/>
      <c r="G739" s="122"/>
      <c r="H739" s="122"/>
      <c r="I739" s="122"/>
      <c r="J739" s="122"/>
      <c r="K739" s="122"/>
      <c r="L739" s="122"/>
      <c r="M739" s="123"/>
      <c r="N739" s="123"/>
      <c r="O739" s="122"/>
      <c r="P739" s="124"/>
      <c r="Q739" s="122"/>
      <c r="R739" s="122"/>
      <c r="S739" s="122"/>
      <c r="T739" s="122"/>
      <c r="U739" s="122"/>
      <c r="V739" s="124"/>
      <c r="W739" s="125"/>
      <c r="X739" s="122"/>
      <c r="Y739" s="122"/>
      <c r="Z739" s="122"/>
      <c r="AA739" s="126"/>
      <c r="AB739" s="122"/>
      <c r="AC739" s="122"/>
      <c r="AD739" s="127"/>
      <c r="AE739" s="127"/>
      <c r="AF739" s="127"/>
      <c r="AG739" s="127"/>
      <c r="AH739" s="124"/>
      <c r="AI739" s="127"/>
      <c r="AJ739" s="127"/>
      <c r="AK739" s="126"/>
      <c r="AL739" s="122"/>
      <c r="AM739" s="122"/>
      <c r="AN739" s="122"/>
      <c r="AO739" s="122"/>
      <c r="AP739" s="122"/>
      <c r="AQ739" s="124"/>
    </row>
    <row r="740" spans="1:43" ht="15.75" customHeight="1">
      <c r="A740" s="122"/>
      <c r="B740" s="122"/>
      <c r="C740" s="122"/>
      <c r="D740" s="122"/>
      <c r="E740" s="122"/>
      <c r="F740" s="122"/>
      <c r="G740" s="122"/>
      <c r="H740" s="122"/>
      <c r="I740" s="122"/>
      <c r="J740" s="122"/>
      <c r="K740" s="122"/>
      <c r="L740" s="122"/>
      <c r="M740" s="123"/>
      <c r="N740" s="123"/>
      <c r="O740" s="122"/>
      <c r="P740" s="124"/>
      <c r="Q740" s="122"/>
      <c r="R740" s="122"/>
      <c r="S740" s="122"/>
      <c r="T740" s="122"/>
      <c r="U740" s="122"/>
      <c r="V740" s="124"/>
      <c r="W740" s="125"/>
      <c r="X740" s="122"/>
      <c r="Y740" s="122"/>
      <c r="Z740" s="122"/>
      <c r="AA740" s="126"/>
      <c r="AB740" s="122"/>
      <c r="AC740" s="122"/>
      <c r="AD740" s="127"/>
      <c r="AE740" s="127"/>
      <c r="AF740" s="127"/>
      <c r="AG740" s="127"/>
      <c r="AH740" s="124"/>
      <c r="AI740" s="127"/>
      <c r="AJ740" s="127"/>
      <c r="AK740" s="126"/>
      <c r="AL740" s="122"/>
      <c r="AM740" s="122"/>
      <c r="AN740" s="122"/>
      <c r="AO740" s="122"/>
      <c r="AP740" s="122"/>
      <c r="AQ740" s="124"/>
    </row>
    <row r="741" spans="1:43" ht="15.75" customHeight="1">
      <c r="A741" s="122"/>
      <c r="B741" s="122"/>
      <c r="C741" s="122"/>
      <c r="D741" s="122"/>
      <c r="E741" s="122"/>
      <c r="F741" s="122"/>
      <c r="G741" s="122"/>
      <c r="H741" s="122"/>
      <c r="I741" s="122"/>
      <c r="J741" s="122"/>
      <c r="K741" s="122"/>
      <c r="L741" s="122"/>
      <c r="M741" s="123"/>
      <c r="N741" s="123"/>
      <c r="O741" s="122"/>
      <c r="P741" s="124"/>
      <c r="Q741" s="122"/>
      <c r="R741" s="122"/>
      <c r="S741" s="122"/>
      <c r="T741" s="122"/>
      <c r="U741" s="122"/>
      <c r="V741" s="124"/>
      <c r="W741" s="125"/>
      <c r="X741" s="122"/>
      <c r="Y741" s="122"/>
      <c r="Z741" s="122"/>
      <c r="AA741" s="126"/>
      <c r="AB741" s="122"/>
      <c r="AC741" s="122"/>
      <c r="AD741" s="127"/>
      <c r="AE741" s="127"/>
      <c r="AF741" s="127"/>
      <c r="AG741" s="127"/>
      <c r="AH741" s="124"/>
      <c r="AI741" s="127"/>
      <c r="AJ741" s="127"/>
      <c r="AK741" s="126"/>
      <c r="AL741" s="122"/>
      <c r="AM741" s="122"/>
      <c r="AN741" s="122"/>
      <c r="AO741" s="122"/>
      <c r="AP741" s="122"/>
      <c r="AQ741" s="124"/>
    </row>
    <row r="742" spans="1:43" ht="15.75" customHeight="1">
      <c r="A742" s="122"/>
      <c r="B742" s="122"/>
      <c r="C742" s="122"/>
      <c r="D742" s="122"/>
      <c r="E742" s="122"/>
      <c r="F742" s="122"/>
      <c r="G742" s="122"/>
      <c r="H742" s="122"/>
      <c r="I742" s="122"/>
      <c r="J742" s="122"/>
      <c r="K742" s="122"/>
      <c r="L742" s="122"/>
      <c r="M742" s="123"/>
      <c r="N742" s="123"/>
      <c r="O742" s="122"/>
      <c r="P742" s="124"/>
      <c r="Q742" s="122"/>
      <c r="R742" s="122"/>
      <c r="S742" s="122"/>
      <c r="T742" s="122"/>
      <c r="U742" s="122"/>
      <c r="V742" s="124"/>
      <c r="W742" s="125"/>
      <c r="X742" s="122"/>
      <c r="Y742" s="122"/>
      <c r="Z742" s="122"/>
      <c r="AA742" s="126"/>
      <c r="AB742" s="122"/>
      <c r="AC742" s="122"/>
      <c r="AD742" s="127"/>
      <c r="AE742" s="127"/>
      <c r="AF742" s="127"/>
      <c r="AG742" s="127"/>
      <c r="AH742" s="124"/>
      <c r="AI742" s="127"/>
      <c r="AJ742" s="127"/>
      <c r="AK742" s="126"/>
      <c r="AL742" s="122"/>
      <c r="AM742" s="122"/>
      <c r="AN742" s="122"/>
      <c r="AO742" s="122"/>
      <c r="AP742" s="122"/>
      <c r="AQ742" s="124"/>
    </row>
    <row r="743" spans="1:43" ht="15.75" customHeight="1">
      <c r="A743" s="122"/>
      <c r="B743" s="122"/>
      <c r="C743" s="122"/>
      <c r="D743" s="122"/>
      <c r="E743" s="122"/>
      <c r="F743" s="122"/>
      <c r="G743" s="122"/>
      <c r="H743" s="122"/>
      <c r="I743" s="122"/>
      <c r="J743" s="122"/>
      <c r="K743" s="122"/>
      <c r="L743" s="122"/>
      <c r="M743" s="123"/>
      <c r="N743" s="123"/>
      <c r="O743" s="122"/>
      <c r="P743" s="124"/>
      <c r="Q743" s="122"/>
      <c r="R743" s="122"/>
      <c r="S743" s="122"/>
      <c r="T743" s="122"/>
      <c r="U743" s="122"/>
      <c r="V743" s="124"/>
      <c r="W743" s="125"/>
      <c r="X743" s="122"/>
      <c r="Y743" s="122"/>
      <c r="Z743" s="122"/>
      <c r="AA743" s="126"/>
      <c r="AB743" s="122"/>
      <c r="AC743" s="122"/>
      <c r="AD743" s="127"/>
      <c r="AE743" s="127"/>
      <c r="AF743" s="127"/>
      <c r="AG743" s="127"/>
      <c r="AH743" s="124"/>
      <c r="AI743" s="127"/>
      <c r="AJ743" s="127"/>
      <c r="AK743" s="126"/>
      <c r="AL743" s="122"/>
      <c r="AM743" s="122"/>
      <c r="AN743" s="122"/>
      <c r="AO743" s="122"/>
      <c r="AP743" s="122"/>
      <c r="AQ743" s="124"/>
    </row>
    <row r="744" spans="1:43" ht="15.75" customHeight="1">
      <c r="A744" s="122"/>
      <c r="B744" s="122"/>
      <c r="C744" s="122"/>
      <c r="D744" s="122"/>
      <c r="E744" s="122"/>
      <c r="F744" s="122"/>
      <c r="G744" s="122"/>
      <c r="H744" s="122"/>
      <c r="I744" s="122"/>
      <c r="J744" s="122"/>
      <c r="K744" s="122"/>
      <c r="L744" s="122"/>
      <c r="M744" s="123"/>
      <c r="N744" s="123"/>
      <c r="O744" s="122"/>
      <c r="P744" s="124"/>
      <c r="Q744" s="122"/>
      <c r="R744" s="122"/>
      <c r="S744" s="122"/>
      <c r="T744" s="122"/>
      <c r="U744" s="122"/>
      <c r="V744" s="124"/>
      <c r="W744" s="125"/>
      <c r="X744" s="122"/>
      <c r="Y744" s="122"/>
      <c r="Z744" s="122"/>
      <c r="AA744" s="126"/>
      <c r="AB744" s="122"/>
      <c r="AC744" s="122"/>
      <c r="AD744" s="127"/>
      <c r="AE744" s="127"/>
      <c r="AF744" s="127"/>
      <c r="AG744" s="127"/>
      <c r="AH744" s="124"/>
      <c r="AI744" s="127"/>
      <c r="AJ744" s="127"/>
      <c r="AK744" s="126"/>
      <c r="AL744" s="122"/>
      <c r="AM744" s="122"/>
      <c r="AN744" s="122"/>
      <c r="AO744" s="122"/>
      <c r="AP744" s="122"/>
      <c r="AQ744" s="124"/>
    </row>
    <row r="745" spans="1:43" ht="15.75" customHeight="1">
      <c r="A745" s="122"/>
      <c r="B745" s="122"/>
      <c r="C745" s="122"/>
      <c r="D745" s="122"/>
      <c r="E745" s="122"/>
      <c r="F745" s="122"/>
      <c r="G745" s="122"/>
      <c r="H745" s="122"/>
      <c r="I745" s="122"/>
      <c r="J745" s="122"/>
      <c r="K745" s="122"/>
      <c r="L745" s="122"/>
      <c r="M745" s="123"/>
      <c r="N745" s="123"/>
      <c r="O745" s="122"/>
      <c r="P745" s="124"/>
      <c r="Q745" s="122"/>
      <c r="R745" s="122"/>
      <c r="S745" s="122"/>
      <c r="T745" s="122"/>
      <c r="U745" s="122"/>
      <c r="V745" s="124"/>
      <c r="W745" s="125"/>
      <c r="X745" s="122"/>
      <c r="Y745" s="122"/>
      <c r="Z745" s="122"/>
      <c r="AA745" s="126"/>
      <c r="AB745" s="122"/>
      <c r="AC745" s="122"/>
      <c r="AD745" s="127"/>
      <c r="AE745" s="127"/>
      <c r="AF745" s="127"/>
      <c r="AG745" s="127"/>
      <c r="AH745" s="124"/>
      <c r="AI745" s="127"/>
      <c r="AJ745" s="127"/>
      <c r="AK745" s="126"/>
      <c r="AL745" s="122"/>
      <c r="AM745" s="122"/>
      <c r="AN745" s="122"/>
      <c r="AO745" s="122"/>
      <c r="AP745" s="122"/>
      <c r="AQ745" s="124"/>
    </row>
    <row r="746" spans="1:43" ht="15.75" customHeight="1">
      <c r="A746" s="122"/>
      <c r="B746" s="122"/>
      <c r="C746" s="122"/>
      <c r="D746" s="122"/>
      <c r="E746" s="122"/>
      <c r="F746" s="122"/>
      <c r="G746" s="122"/>
      <c r="H746" s="122"/>
      <c r="I746" s="122"/>
      <c r="J746" s="122"/>
      <c r="K746" s="122"/>
      <c r="L746" s="122"/>
      <c r="M746" s="123"/>
      <c r="N746" s="123"/>
      <c r="O746" s="122"/>
      <c r="P746" s="124"/>
      <c r="Q746" s="122"/>
      <c r="R746" s="122"/>
      <c r="S746" s="122"/>
      <c r="T746" s="122"/>
      <c r="U746" s="122"/>
      <c r="V746" s="124"/>
      <c r="W746" s="125"/>
      <c r="X746" s="122"/>
      <c r="Y746" s="122"/>
      <c r="Z746" s="122"/>
      <c r="AA746" s="126"/>
      <c r="AB746" s="122"/>
      <c r="AC746" s="122"/>
      <c r="AD746" s="127"/>
      <c r="AE746" s="127"/>
      <c r="AF746" s="127"/>
      <c r="AG746" s="127"/>
      <c r="AH746" s="124"/>
      <c r="AI746" s="127"/>
      <c r="AJ746" s="127"/>
      <c r="AK746" s="126"/>
      <c r="AL746" s="122"/>
      <c r="AM746" s="122"/>
      <c r="AN746" s="122"/>
      <c r="AO746" s="122"/>
      <c r="AP746" s="122"/>
      <c r="AQ746" s="124"/>
    </row>
    <row r="747" spans="1:43" ht="15.75" customHeight="1">
      <c r="A747" s="122"/>
      <c r="B747" s="122"/>
      <c r="C747" s="122"/>
      <c r="D747" s="122"/>
      <c r="E747" s="122"/>
      <c r="F747" s="122"/>
      <c r="G747" s="122"/>
      <c r="H747" s="122"/>
      <c r="I747" s="122"/>
      <c r="J747" s="122"/>
      <c r="K747" s="122"/>
      <c r="L747" s="122"/>
      <c r="M747" s="123"/>
      <c r="N747" s="123"/>
      <c r="O747" s="122"/>
      <c r="P747" s="124"/>
      <c r="Q747" s="122"/>
      <c r="R747" s="122"/>
      <c r="S747" s="122"/>
      <c r="T747" s="122"/>
      <c r="U747" s="122"/>
      <c r="V747" s="124"/>
      <c r="W747" s="125"/>
      <c r="X747" s="122"/>
      <c r="Y747" s="122"/>
      <c r="Z747" s="122"/>
      <c r="AA747" s="126"/>
      <c r="AB747" s="122"/>
      <c r="AC747" s="122"/>
      <c r="AD747" s="127"/>
      <c r="AE747" s="127"/>
      <c r="AF747" s="127"/>
      <c r="AG747" s="127"/>
      <c r="AH747" s="124"/>
      <c r="AI747" s="127"/>
      <c r="AJ747" s="127"/>
      <c r="AK747" s="126"/>
      <c r="AL747" s="122"/>
      <c r="AM747" s="122"/>
      <c r="AN747" s="122"/>
      <c r="AO747" s="122"/>
      <c r="AP747" s="122"/>
      <c r="AQ747" s="124"/>
    </row>
    <row r="748" spans="1:43" ht="15.75" customHeight="1">
      <c r="A748" s="122"/>
      <c r="B748" s="122"/>
      <c r="C748" s="122"/>
      <c r="D748" s="122"/>
      <c r="E748" s="122"/>
      <c r="F748" s="122"/>
      <c r="G748" s="122"/>
      <c r="H748" s="122"/>
      <c r="I748" s="122"/>
      <c r="J748" s="122"/>
      <c r="K748" s="122"/>
      <c r="L748" s="122"/>
      <c r="M748" s="123"/>
      <c r="N748" s="123"/>
      <c r="O748" s="122"/>
      <c r="P748" s="124"/>
      <c r="Q748" s="122"/>
      <c r="R748" s="122"/>
      <c r="S748" s="122"/>
      <c r="T748" s="122"/>
      <c r="U748" s="122"/>
      <c r="V748" s="124"/>
      <c r="W748" s="125"/>
      <c r="X748" s="122"/>
      <c r="Y748" s="122"/>
      <c r="Z748" s="122"/>
      <c r="AA748" s="126"/>
      <c r="AB748" s="122"/>
      <c r="AC748" s="122"/>
      <c r="AD748" s="127"/>
      <c r="AE748" s="127"/>
      <c r="AF748" s="127"/>
      <c r="AG748" s="127"/>
      <c r="AH748" s="124"/>
      <c r="AI748" s="127"/>
      <c r="AJ748" s="127"/>
      <c r="AK748" s="126"/>
      <c r="AL748" s="122"/>
      <c r="AM748" s="122"/>
      <c r="AN748" s="122"/>
      <c r="AO748" s="122"/>
      <c r="AP748" s="122"/>
      <c r="AQ748" s="124"/>
    </row>
    <row r="749" spans="1:43" ht="15.75" customHeight="1">
      <c r="A749" s="122"/>
      <c r="B749" s="122"/>
      <c r="C749" s="122"/>
      <c r="D749" s="122"/>
      <c r="E749" s="122"/>
      <c r="F749" s="122"/>
      <c r="G749" s="122"/>
      <c r="H749" s="122"/>
      <c r="I749" s="122"/>
      <c r="J749" s="122"/>
      <c r="K749" s="122"/>
      <c r="L749" s="122"/>
      <c r="M749" s="123"/>
      <c r="N749" s="123"/>
      <c r="O749" s="122"/>
      <c r="P749" s="124"/>
      <c r="Q749" s="122"/>
      <c r="R749" s="122"/>
      <c r="S749" s="122"/>
      <c r="T749" s="122"/>
      <c r="U749" s="122"/>
      <c r="V749" s="124"/>
      <c r="W749" s="125"/>
      <c r="X749" s="122"/>
      <c r="Y749" s="122"/>
      <c r="Z749" s="122"/>
      <c r="AA749" s="126"/>
      <c r="AB749" s="122"/>
      <c r="AC749" s="122"/>
      <c r="AD749" s="127"/>
      <c r="AE749" s="127"/>
      <c r="AF749" s="127"/>
      <c r="AG749" s="127"/>
      <c r="AH749" s="124"/>
      <c r="AI749" s="127"/>
      <c r="AJ749" s="127"/>
      <c r="AK749" s="126"/>
      <c r="AL749" s="122"/>
      <c r="AM749" s="122"/>
      <c r="AN749" s="122"/>
      <c r="AO749" s="122"/>
      <c r="AP749" s="122"/>
      <c r="AQ749" s="124"/>
    </row>
    <row r="750" spans="1:43" ht="15.75" customHeight="1">
      <c r="A750" s="122"/>
      <c r="B750" s="122"/>
      <c r="C750" s="122"/>
      <c r="D750" s="122"/>
      <c r="E750" s="122"/>
      <c r="F750" s="122"/>
      <c r="G750" s="122"/>
      <c r="H750" s="122"/>
      <c r="I750" s="122"/>
      <c r="J750" s="122"/>
      <c r="K750" s="122"/>
      <c r="L750" s="122"/>
      <c r="M750" s="123"/>
      <c r="N750" s="123"/>
      <c r="O750" s="122"/>
      <c r="P750" s="124"/>
      <c r="Q750" s="122"/>
      <c r="R750" s="122"/>
      <c r="S750" s="122"/>
      <c r="T750" s="122"/>
      <c r="U750" s="122"/>
      <c r="V750" s="124"/>
      <c r="W750" s="125"/>
      <c r="X750" s="122"/>
      <c r="Y750" s="122"/>
      <c r="Z750" s="122"/>
      <c r="AA750" s="126"/>
      <c r="AB750" s="122"/>
      <c r="AC750" s="122"/>
      <c r="AD750" s="127"/>
      <c r="AE750" s="127"/>
      <c r="AF750" s="127"/>
      <c r="AG750" s="127"/>
      <c r="AH750" s="124"/>
      <c r="AI750" s="127"/>
      <c r="AJ750" s="127"/>
      <c r="AK750" s="126"/>
      <c r="AL750" s="122"/>
      <c r="AM750" s="122"/>
      <c r="AN750" s="122"/>
      <c r="AO750" s="122"/>
      <c r="AP750" s="122"/>
      <c r="AQ750" s="124"/>
    </row>
    <row r="751" spans="1:43" ht="15.75" customHeight="1">
      <c r="A751" s="122"/>
      <c r="B751" s="122"/>
      <c r="C751" s="122"/>
      <c r="D751" s="122"/>
      <c r="E751" s="122"/>
      <c r="F751" s="122"/>
      <c r="G751" s="122"/>
      <c r="H751" s="122"/>
      <c r="I751" s="122"/>
      <c r="J751" s="122"/>
      <c r="K751" s="122"/>
      <c r="L751" s="122"/>
      <c r="M751" s="123"/>
      <c r="N751" s="123"/>
      <c r="O751" s="122"/>
      <c r="P751" s="124"/>
      <c r="Q751" s="122"/>
      <c r="R751" s="122"/>
      <c r="S751" s="122"/>
      <c r="T751" s="122"/>
      <c r="U751" s="122"/>
      <c r="V751" s="124"/>
      <c r="W751" s="125"/>
      <c r="X751" s="122"/>
      <c r="Y751" s="122"/>
      <c r="Z751" s="122"/>
      <c r="AA751" s="126"/>
      <c r="AB751" s="122"/>
      <c r="AC751" s="122"/>
      <c r="AD751" s="127"/>
      <c r="AE751" s="127"/>
      <c r="AF751" s="127"/>
      <c r="AG751" s="127"/>
      <c r="AH751" s="124"/>
      <c r="AI751" s="127"/>
      <c r="AJ751" s="127"/>
      <c r="AK751" s="126"/>
      <c r="AL751" s="122"/>
      <c r="AM751" s="122"/>
      <c r="AN751" s="122"/>
      <c r="AO751" s="122"/>
      <c r="AP751" s="122"/>
      <c r="AQ751" s="124"/>
    </row>
    <row r="752" spans="1:43" ht="15.75" customHeight="1">
      <c r="A752" s="122"/>
      <c r="B752" s="122"/>
      <c r="C752" s="122"/>
      <c r="D752" s="122"/>
      <c r="E752" s="122"/>
      <c r="F752" s="122"/>
      <c r="G752" s="122"/>
      <c r="H752" s="122"/>
      <c r="I752" s="122"/>
      <c r="J752" s="122"/>
      <c r="K752" s="122"/>
      <c r="L752" s="122"/>
      <c r="M752" s="123"/>
      <c r="N752" s="123"/>
      <c r="O752" s="122"/>
      <c r="P752" s="124"/>
      <c r="Q752" s="122"/>
      <c r="R752" s="122"/>
      <c r="S752" s="122"/>
      <c r="T752" s="122"/>
      <c r="U752" s="122"/>
      <c r="V752" s="124"/>
      <c r="W752" s="125"/>
      <c r="X752" s="122"/>
      <c r="Y752" s="122"/>
      <c r="Z752" s="122"/>
      <c r="AA752" s="126"/>
      <c r="AB752" s="122"/>
      <c r="AC752" s="122"/>
      <c r="AD752" s="127"/>
      <c r="AE752" s="127"/>
      <c r="AF752" s="127"/>
      <c r="AG752" s="127"/>
      <c r="AH752" s="124"/>
      <c r="AI752" s="127"/>
      <c r="AJ752" s="127"/>
      <c r="AK752" s="126"/>
      <c r="AL752" s="122"/>
      <c r="AM752" s="122"/>
      <c r="AN752" s="122"/>
      <c r="AO752" s="122"/>
      <c r="AP752" s="122"/>
      <c r="AQ752" s="124"/>
    </row>
    <row r="753" spans="1:43" ht="15.75" customHeight="1">
      <c r="A753" s="122"/>
      <c r="B753" s="122"/>
      <c r="C753" s="122"/>
      <c r="D753" s="122"/>
      <c r="E753" s="122"/>
      <c r="F753" s="122"/>
      <c r="G753" s="122"/>
      <c r="H753" s="122"/>
      <c r="I753" s="122"/>
      <c r="J753" s="122"/>
      <c r="K753" s="122"/>
      <c r="L753" s="122"/>
      <c r="M753" s="123"/>
      <c r="N753" s="123"/>
      <c r="O753" s="122"/>
      <c r="P753" s="124"/>
      <c r="Q753" s="122"/>
      <c r="R753" s="122"/>
      <c r="S753" s="122"/>
      <c r="T753" s="122"/>
      <c r="U753" s="122"/>
      <c r="V753" s="124"/>
      <c r="W753" s="125"/>
      <c r="X753" s="122"/>
      <c r="Y753" s="122"/>
      <c r="Z753" s="122"/>
      <c r="AA753" s="126"/>
      <c r="AB753" s="122"/>
      <c r="AC753" s="122"/>
      <c r="AD753" s="127"/>
      <c r="AE753" s="127"/>
      <c r="AF753" s="127"/>
      <c r="AG753" s="127"/>
      <c r="AH753" s="124"/>
      <c r="AI753" s="127"/>
      <c r="AJ753" s="127"/>
      <c r="AK753" s="126"/>
      <c r="AL753" s="122"/>
      <c r="AM753" s="122"/>
      <c r="AN753" s="122"/>
      <c r="AO753" s="122"/>
      <c r="AP753" s="122"/>
      <c r="AQ753" s="124"/>
    </row>
    <row r="754" spans="1:43" ht="15.75" customHeight="1">
      <c r="A754" s="122"/>
      <c r="B754" s="122"/>
      <c r="C754" s="122"/>
      <c r="D754" s="122"/>
      <c r="E754" s="122"/>
      <c r="F754" s="122"/>
      <c r="G754" s="122"/>
      <c r="H754" s="122"/>
      <c r="I754" s="122"/>
      <c r="J754" s="122"/>
      <c r="K754" s="122"/>
      <c r="L754" s="122"/>
      <c r="M754" s="123"/>
      <c r="N754" s="123"/>
      <c r="O754" s="122"/>
      <c r="P754" s="124"/>
      <c r="Q754" s="122"/>
      <c r="R754" s="122"/>
      <c r="S754" s="122"/>
      <c r="T754" s="122"/>
      <c r="U754" s="122"/>
      <c r="V754" s="124"/>
      <c r="W754" s="125"/>
      <c r="X754" s="122"/>
      <c r="Y754" s="122"/>
      <c r="Z754" s="122"/>
      <c r="AA754" s="126"/>
      <c r="AB754" s="122"/>
      <c r="AC754" s="122"/>
      <c r="AD754" s="127"/>
      <c r="AE754" s="127"/>
      <c r="AF754" s="127"/>
      <c r="AG754" s="127"/>
      <c r="AH754" s="124"/>
      <c r="AI754" s="127"/>
      <c r="AJ754" s="127"/>
      <c r="AK754" s="126"/>
      <c r="AL754" s="122"/>
      <c r="AM754" s="122"/>
      <c r="AN754" s="122"/>
      <c r="AO754" s="122"/>
      <c r="AP754" s="122"/>
      <c r="AQ754" s="124"/>
    </row>
    <row r="755" spans="1:43" ht="15.75" customHeight="1">
      <c r="A755" s="122"/>
      <c r="B755" s="122"/>
      <c r="C755" s="122"/>
      <c r="D755" s="122"/>
      <c r="E755" s="122"/>
      <c r="F755" s="122"/>
      <c r="G755" s="122"/>
      <c r="H755" s="122"/>
      <c r="I755" s="122"/>
      <c r="J755" s="122"/>
      <c r="K755" s="122"/>
      <c r="L755" s="122"/>
      <c r="M755" s="123"/>
      <c r="N755" s="123"/>
      <c r="O755" s="122"/>
      <c r="P755" s="124"/>
      <c r="Q755" s="122"/>
      <c r="R755" s="122"/>
      <c r="S755" s="122"/>
      <c r="T755" s="122"/>
      <c r="U755" s="122"/>
      <c r="V755" s="124"/>
      <c r="W755" s="125"/>
      <c r="X755" s="122"/>
      <c r="Y755" s="122"/>
      <c r="Z755" s="122"/>
      <c r="AA755" s="126"/>
      <c r="AB755" s="122"/>
      <c r="AC755" s="122"/>
      <c r="AD755" s="127"/>
      <c r="AE755" s="127"/>
      <c r="AF755" s="127"/>
      <c r="AG755" s="127"/>
      <c r="AH755" s="124"/>
      <c r="AI755" s="127"/>
      <c r="AJ755" s="127"/>
      <c r="AK755" s="126"/>
      <c r="AL755" s="122"/>
      <c r="AM755" s="122"/>
      <c r="AN755" s="122"/>
      <c r="AO755" s="122"/>
      <c r="AP755" s="122"/>
      <c r="AQ755" s="124"/>
    </row>
    <row r="756" spans="1:43" ht="15.75" customHeight="1">
      <c r="A756" s="122"/>
      <c r="B756" s="122"/>
      <c r="C756" s="122"/>
      <c r="D756" s="122"/>
      <c r="E756" s="122"/>
      <c r="F756" s="122"/>
      <c r="G756" s="122"/>
      <c r="H756" s="122"/>
      <c r="I756" s="122"/>
      <c r="J756" s="122"/>
      <c r="K756" s="122"/>
      <c r="L756" s="122"/>
      <c r="M756" s="123"/>
      <c r="N756" s="123"/>
      <c r="O756" s="122"/>
      <c r="P756" s="124"/>
      <c r="Q756" s="122"/>
      <c r="R756" s="122"/>
      <c r="S756" s="122"/>
      <c r="T756" s="122"/>
      <c r="U756" s="122"/>
      <c r="V756" s="124"/>
      <c r="W756" s="125"/>
      <c r="X756" s="122"/>
      <c r="Y756" s="122"/>
      <c r="Z756" s="122"/>
      <c r="AA756" s="126"/>
      <c r="AB756" s="122"/>
      <c r="AC756" s="122"/>
      <c r="AD756" s="127"/>
      <c r="AE756" s="127"/>
      <c r="AF756" s="127"/>
      <c r="AG756" s="127"/>
      <c r="AH756" s="124"/>
      <c r="AI756" s="127"/>
      <c r="AJ756" s="127"/>
      <c r="AK756" s="126"/>
      <c r="AL756" s="122"/>
      <c r="AM756" s="122"/>
      <c r="AN756" s="122"/>
      <c r="AO756" s="122"/>
      <c r="AP756" s="122"/>
      <c r="AQ756" s="124"/>
    </row>
    <row r="757" spans="1:43" ht="15.75" customHeight="1">
      <c r="A757" s="122"/>
      <c r="B757" s="122"/>
      <c r="C757" s="122"/>
      <c r="D757" s="122"/>
      <c r="E757" s="122"/>
      <c r="F757" s="122"/>
      <c r="G757" s="122"/>
      <c r="H757" s="122"/>
      <c r="I757" s="122"/>
      <c r="J757" s="122"/>
      <c r="K757" s="122"/>
      <c r="L757" s="122"/>
      <c r="M757" s="123"/>
      <c r="N757" s="123"/>
      <c r="O757" s="122"/>
      <c r="P757" s="124"/>
      <c r="Q757" s="122"/>
      <c r="R757" s="122"/>
      <c r="S757" s="122"/>
      <c r="T757" s="122"/>
      <c r="U757" s="122"/>
      <c r="V757" s="124"/>
      <c r="W757" s="125"/>
      <c r="X757" s="122"/>
      <c r="Y757" s="122"/>
      <c r="Z757" s="122"/>
      <c r="AA757" s="126"/>
      <c r="AB757" s="122"/>
      <c r="AC757" s="122"/>
      <c r="AD757" s="127"/>
      <c r="AE757" s="127"/>
      <c r="AF757" s="127"/>
      <c r="AG757" s="127"/>
      <c r="AH757" s="124"/>
      <c r="AI757" s="127"/>
      <c r="AJ757" s="127"/>
      <c r="AK757" s="126"/>
      <c r="AL757" s="122"/>
      <c r="AM757" s="122"/>
      <c r="AN757" s="122"/>
      <c r="AO757" s="122"/>
      <c r="AP757" s="122"/>
      <c r="AQ757" s="124"/>
    </row>
    <row r="758" spans="1:43" ht="15.75" customHeight="1">
      <c r="A758" s="122"/>
      <c r="B758" s="122"/>
      <c r="C758" s="122"/>
      <c r="D758" s="122"/>
      <c r="E758" s="122"/>
      <c r="F758" s="122"/>
      <c r="G758" s="122"/>
      <c r="H758" s="122"/>
      <c r="I758" s="122"/>
      <c r="J758" s="122"/>
      <c r="K758" s="122"/>
      <c r="L758" s="122"/>
      <c r="M758" s="123"/>
      <c r="N758" s="123"/>
      <c r="O758" s="122"/>
      <c r="P758" s="124"/>
      <c r="Q758" s="122"/>
      <c r="R758" s="122"/>
      <c r="S758" s="122"/>
      <c r="T758" s="122"/>
      <c r="U758" s="122"/>
      <c r="V758" s="124"/>
      <c r="W758" s="125"/>
      <c r="X758" s="122"/>
      <c r="Y758" s="122"/>
      <c r="Z758" s="122"/>
      <c r="AA758" s="126"/>
      <c r="AB758" s="122"/>
      <c r="AC758" s="122"/>
      <c r="AD758" s="127"/>
      <c r="AE758" s="127"/>
      <c r="AF758" s="127"/>
      <c r="AG758" s="127"/>
      <c r="AH758" s="124"/>
      <c r="AI758" s="127"/>
      <c r="AJ758" s="127"/>
      <c r="AK758" s="126"/>
      <c r="AL758" s="122"/>
      <c r="AM758" s="122"/>
      <c r="AN758" s="122"/>
      <c r="AO758" s="122"/>
      <c r="AP758" s="122"/>
      <c r="AQ758" s="124"/>
    </row>
    <row r="759" spans="1:43" ht="15.75" customHeight="1">
      <c r="A759" s="122"/>
      <c r="B759" s="122"/>
      <c r="C759" s="122"/>
      <c r="D759" s="122"/>
      <c r="E759" s="122"/>
      <c r="F759" s="122"/>
      <c r="G759" s="122"/>
      <c r="H759" s="122"/>
      <c r="I759" s="122"/>
      <c r="J759" s="122"/>
      <c r="K759" s="122"/>
      <c r="L759" s="122"/>
      <c r="M759" s="123"/>
      <c r="N759" s="123"/>
      <c r="O759" s="122"/>
      <c r="P759" s="124"/>
      <c r="Q759" s="122"/>
      <c r="R759" s="122"/>
      <c r="S759" s="122"/>
      <c r="T759" s="122"/>
      <c r="U759" s="122"/>
      <c r="V759" s="124"/>
      <c r="W759" s="125"/>
      <c r="X759" s="122"/>
      <c r="Y759" s="122"/>
      <c r="Z759" s="122"/>
      <c r="AA759" s="126"/>
      <c r="AB759" s="122"/>
      <c r="AC759" s="122"/>
      <c r="AD759" s="127"/>
      <c r="AE759" s="127"/>
      <c r="AF759" s="127"/>
      <c r="AG759" s="127"/>
      <c r="AH759" s="124"/>
      <c r="AI759" s="127"/>
      <c r="AJ759" s="127"/>
      <c r="AK759" s="126"/>
      <c r="AL759" s="122"/>
      <c r="AM759" s="122"/>
      <c r="AN759" s="122"/>
      <c r="AO759" s="122"/>
      <c r="AP759" s="122"/>
      <c r="AQ759" s="124"/>
    </row>
    <row r="760" spans="1:43" ht="15.75" customHeight="1">
      <c r="A760" s="122"/>
      <c r="B760" s="122"/>
      <c r="C760" s="122"/>
      <c r="D760" s="122"/>
      <c r="E760" s="122"/>
      <c r="F760" s="122"/>
      <c r="G760" s="122"/>
      <c r="H760" s="122"/>
      <c r="I760" s="122"/>
      <c r="J760" s="122"/>
      <c r="K760" s="122"/>
      <c r="L760" s="122"/>
      <c r="M760" s="123"/>
      <c r="N760" s="123"/>
      <c r="O760" s="122"/>
      <c r="P760" s="124"/>
      <c r="Q760" s="122"/>
      <c r="R760" s="122"/>
      <c r="S760" s="122"/>
      <c r="T760" s="122"/>
      <c r="U760" s="122"/>
      <c r="V760" s="124"/>
      <c r="W760" s="125"/>
      <c r="X760" s="122"/>
      <c r="Y760" s="122"/>
      <c r="Z760" s="122"/>
      <c r="AA760" s="126"/>
      <c r="AB760" s="122"/>
      <c r="AC760" s="122"/>
      <c r="AD760" s="127"/>
      <c r="AE760" s="127"/>
      <c r="AF760" s="127"/>
      <c r="AG760" s="127"/>
      <c r="AH760" s="124"/>
      <c r="AI760" s="127"/>
      <c r="AJ760" s="127"/>
      <c r="AK760" s="126"/>
      <c r="AL760" s="122"/>
      <c r="AM760" s="122"/>
      <c r="AN760" s="122"/>
      <c r="AO760" s="122"/>
      <c r="AP760" s="122"/>
      <c r="AQ760" s="124"/>
    </row>
    <row r="761" spans="1:43" ht="15.75" customHeight="1">
      <c r="A761" s="122"/>
      <c r="B761" s="122"/>
      <c r="C761" s="122"/>
      <c r="D761" s="122"/>
      <c r="E761" s="122"/>
      <c r="F761" s="122"/>
      <c r="G761" s="122"/>
      <c r="H761" s="122"/>
      <c r="I761" s="122"/>
      <c r="J761" s="122"/>
      <c r="K761" s="122"/>
      <c r="L761" s="122"/>
      <c r="M761" s="123"/>
      <c r="N761" s="123"/>
      <c r="O761" s="122"/>
      <c r="P761" s="124"/>
      <c r="Q761" s="122"/>
      <c r="R761" s="122"/>
      <c r="S761" s="122"/>
      <c r="T761" s="122"/>
      <c r="U761" s="122"/>
      <c r="V761" s="124"/>
      <c r="W761" s="125"/>
      <c r="X761" s="122"/>
      <c r="Y761" s="122"/>
      <c r="Z761" s="122"/>
      <c r="AA761" s="126"/>
      <c r="AB761" s="122"/>
      <c r="AC761" s="122"/>
      <c r="AD761" s="127"/>
      <c r="AE761" s="127"/>
      <c r="AF761" s="127"/>
      <c r="AG761" s="127"/>
      <c r="AH761" s="124"/>
      <c r="AI761" s="127"/>
      <c r="AJ761" s="127"/>
      <c r="AK761" s="126"/>
      <c r="AL761" s="122"/>
      <c r="AM761" s="122"/>
      <c r="AN761" s="122"/>
      <c r="AO761" s="122"/>
      <c r="AP761" s="122"/>
      <c r="AQ761" s="124"/>
    </row>
    <row r="762" spans="1:43" ht="15.75" customHeight="1">
      <c r="A762" s="122"/>
      <c r="B762" s="122"/>
      <c r="C762" s="122"/>
      <c r="D762" s="122"/>
      <c r="E762" s="122"/>
      <c r="F762" s="122"/>
      <c r="G762" s="122"/>
      <c r="H762" s="122"/>
      <c r="I762" s="122"/>
      <c r="J762" s="122"/>
      <c r="K762" s="122"/>
      <c r="L762" s="122"/>
      <c r="M762" s="123"/>
      <c r="N762" s="123"/>
      <c r="O762" s="122"/>
      <c r="P762" s="124"/>
      <c r="Q762" s="122"/>
      <c r="R762" s="122"/>
      <c r="S762" s="122"/>
      <c r="T762" s="122"/>
      <c r="U762" s="122"/>
      <c r="V762" s="124"/>
      <c r="W762" s="125"/>
      <c r="X762" s="122"/>
      <c r="Y762" s="122"/>
      <c r="Z762" s="122"/>
      <c r="AA762" s="126"/>
      <c r="AB762" s="122"/>
      <c r="AC762" s="122"/>
      <c r="AD762" s="127"/>
      <c r="AE762" s="127"/>
      <c r="AF762" s="127"/>
      <c r="AG762" s="127"/>
      <c r="AH762" s="124"/>
      <c r="AI762" s="127"/>
      <c r="AJ762" s="127"/>
      <c r="AK762" s="126"/>
      <c r="AL762" s="122"/>
      <c r="AM762" s="122"/>
      <c r="AN762" s="122"/>
      <c r="AO762" s="122"/>
      <c r="AP762" s="122"/>
      <c r="AQ762" s="124"/>
    </row>
    <row r="763" spans="1:43" ht="15.75" customHeight="1">
      <c r="A763" s="122"/>
      <c r="B763" s="122"/>
      <c r="C763" s="122"/>
      <c r="D763" s="122"/>
      <c r="E763" s="122"/>
      <c r="F763" s="122"/>
      <c r="G763" s="122"/>
      <c r="H763" s="122"/>
      <c r="I763" s="122"/>
      <c r="J763" s="122"/>
      <c r="K763" s="122"/>
      <c r="L763" s="122"/>
      <c r="M763" s="123"/>
      <c r="N763" s="123"/>
      <c r="O763" s="122"/>
      <c r="P763" s="124"/>
      <c r="Q763" s="122"/>
      <c r="R763" s="122"/>
      <c r="S763" s="122"/>
      <c r="T763" s="122"/>
      <c r="U763" s="122"/>
      <c r="V763" s="124"/>
      <c r="W763" s="125"/>
      <c r="X763" s="122"/>
      <c r="Y763" s="122"/>
      <c r="Z763" s="122"/>
      <c r="AA763" s="126"/>
      <c r="AB763" s="122"/>
      <c r="AC763" s="122"/>
      <c r="AD763" s="127"/>
      <c r="AE763" s="127"/>
      <c r="AF763" s="127"/>
      <c r="AG763" s="127"/>
      <c r="AH763" s="124"/>
      <c r="AI763" s="127"/>
      <c r="AJ763" s="127"/>
      <c r="AK763" s="126"/>
      <c r="AL763" s="122"/>
      <c r="AM763" s="122"/>
      <c r="AN763" s="122"/>
      <c r="AO763" s="122"/>
      <c r="AP763" s="122"/>
      <c r="AQ763" s="124"/>
    </row>
    <row r="764" spans="1:43" ht="15.75" customHeight="1">
      <c r="A764" s="122"/>
      <c r="B764" s="122"/>
      <c r="C764" s="122"/>
      <c r="D764" s="122"/>
      <c r="E764" s="122"/>
      <c r="F764" s="122"/>
      <c r="G764" s="122"/>
      <c r="H764" s="122"/>
      <c r="I764" s="122"/>
      <c r="J764" s="122"/>
      <c r="K764" s="122"/>
      <c r="L764" s="122"/>
      <c r="M764" s="123"/>
      <c r="N764" s="123"/>
      <c r="O764" s="122"/>
      <c r="P764" s="124"/>
      <c r="Q764" s="122"/>
      <c r="R764" s="122"/>
      <c r="S764" s="122"/>
      <c r="T764" s="122"/>
      <c r="U764" s="122"/>
      <c r="V764" s="124"/>
      <c r="W764" s="125"/>
      <c r="X764" s="122"/>
      <c r="Y764" s="122"/>
      <c r="Z764" s="122"/>
      <c r="AA764" s="126"/>
      <c r="AB764" s="122"/>
      <c r="AC764" s="122"/>
      <c r="AD764" s="127"/>
      <c r="AE764" s="127"/>
      <c r="AF764" s="127"/>
      <c r="AG764" s="127"/>
      <c r="AH764" s="124"/>
      <c r="AI764" s="127"/>
      <c r="AJ764" s="127"/>
      <c r="AK764" s="126"/>
      <c r="AL764" s="122"/>
      <c r="AM764" s="122"/>
      <c r="AN764" s="122"/>
      <c r="AO764" s="122"/>
      <c r="AP764" s="122"/>
      <c r="AQ764" s="124"/>
    </row>
    <row r="765" spans="1:43" ht="15.75" customHeight="1">
      <c r="A765" s="122"/>
      <c r="B765" s="122"/>
      <c r="C765" s="122"/>
      <c r="D765" s="122"/>
      <c r="E765" s="122"/>
      <c r="F765" s="122"/>
      <c r="G765" s="122"/>
      <c r="H765" s="122"/>
      <c r="I765" s="122"/>
      <c r="J765" s="122"/>
      <c r="K765" s="122"/>
      <c r="L765" s="122"/>
      <c r="M765" s="123"/>
      <c r="N765" s="123"/>
      <c r="O765" s="122"/>
      <c r="P765" s="124"/>
      <c r="Q765" s="122"/>
      <c r="R765" s="122"/>
      <c r="S765" s="122"/>
      <c r="T765" s="122"/>
      <c r="U765" s="122"/>
      <c r="V765" s="124"/>
      <c r="W765" s="125"/>
      <c r="X765" s="122"/>
      <c r="Y765" s="122"/>
      <c r="Z765" s="122"/>
      <c r="AA765" s="126"/>
      <c r="AB765" s="122"/>
      <c r="AC765" s="122"/>
      <c r="AD765" s="127"/>
      <c r="AE765" s="127"/>
      <c r="AF765" s="127"/>
      <c r="AG765" s="127"/>
      <c r="AH765" s="124"/>
      <c r="AI765" s="127"/>
      <c r="AJ765" s="127"/>
      <c r="AK765" s="126"/>
      <c r="AL765" s="122"/>
      <c r="AM765" s="122"/>
      <c r="AN765" s="122"/>
      <c r="AO765" s="122"/>
      <c r="AP765" s="122"/>
      <c r="AQ765" s="124"/>
    </row>
    <row r="766" spans="1:43" ht="15.75" customHeight="1">
      <c r="A766" s="122"/>
      <c r="B766" s="122"/>
      <c r="C766" s="122"/>
      <c r="D766" s="122"/>
      <c r="E766" s="122"/>
      <c r="F766" s="122"/>
      <c r="G766" s="122"/>
      <c r="H766" s="122"/>
      <c r="I766" s="122"/>
      <c r="J766" s="122"/>
      <c r="K766" s="122"/>
      <c r="L766" s="122"/>
      <c r="M766" s="123"/>
      <c r="N766" s="123"/>
      <c r="O766" s="122"/>
      <c r="P766" s="124"/>
      <c r="Q766" s="122"/>
      <c r="R766" s="122"/>
      <c r="S766" s="122"/>
      <c r="T766" s="122"/>
      <c r="U766" s="122"/>
      <c r="V766" s="124"/>
      <c r="W766" s="125"/>
      <c r="X766" s="122"/>
      <c r="Y766" s="122"/>
      <c r="Z766" s="122"/>
      <c r="AA766" s="126"/>
      <c r="AB766" s="122"/>
      <c r="AC766" s="122"/>
      <c r="AD766" s="127"/>
      <c r="AE766" s="127"/>
      <c r="AF766" s="127"/>
      <c r="AG766" s="127"/>
      <c r="AH766" s="124"/>
      <c r="AI766" s="127"/>
      <c r="AJ766" s="127"/>
      <c r="AK766" s="126"/>
      <c r="AL766" s="122"/>
      <c r="AM766" s="122"/>
      <c r="AN766" s="122"/>
      <c r="AO766" s="122"/>
      <c r="AP766" s="122"/>
      <c r="AQ766" s="124"/>
    </row>
    <row r="767" spans="1:43" ht="15.75" customHeight="1">
      <c r="A767" s="122"/>
      <c r="B767" s="122"/>
      <c r="C767" s="122"/>
      <c r="D767" s="122"/>
      <c r="E767" s="122"/>
      <c r="F767" s="122"/>
      <c r="G767" s="122"/>
      <c r="H767" s="122"/>
      <c r="I767" s="122"/>
      <c r="J767" s="122"/>
      <c r="K767" s="122"/>
      <c r="L767" s="122"/>
      <c r="M767" s="123"/>
      <c r="N767" s="123"/>
      <c r="O767" s="122"/>
      <c r="P767" s="124"/>
      <c r="Q767" s="122"/>
      <c r="R767" s="122"/>
      <c r="S767" s="122"/>
      <c r="T767" s="122"/>
      <c r="U767" s="122"/>
      <c r="V767" s="124"/>
      <c r="W767" s="125"/>
      <c r="X767" s="122"/>
      <c r="Y767" s="122"/>
      <c r="Z767" s="122"/>
      <c r="AA767" s="126"/>
      <c r="AB767" s="122"/>
      <c r="AC767" s="122"/>
      <c r="AD767" s="127"/>
      <c r="AE767" s="127"/>
      <c r="AF767" s="127"/>
      <c r="AG767" s="127"/>
      <c r="AH767" s="124"/>
      <c r="AI767" s="127"/>
      <c r="AJ767" s="127"/>
      <c r="AK767" s="126"/>
      <c r="AL767" s="122"/>
      <c r="AM767" s="122"/>
      <c r="AN767" s="122"/>
      <c r="AO767" s="122"/>
      <c r="AP767" s="122"/>
      <c r="AQ767" s="124"/>
    </row>
    <row r="768" spans="1:43" ht="15.75" customHeight="1">
      <c r="A768" s="122"/>
      <c r="B768" s="122"/>
      <c r="C768" s="122"/>
      <c r="D768" s="122"/>
      <c r="E768" s="122"/>
      <c r="F768" s="122"/>
      <c r="G768" s="122"/>
      <c r="H768" s="122"/>
      <c r="I768" s="122"/>
      <c r="J768" s="122"/>
      <c r="K768" s="122"/>
      <c r="L768" s="122"/>
      <c r="M768" s="123"/>
      <c r="N768" s="123"/>
      <c r="O768" s="122"/>
      <c r="P768" s="124"/>
      <c r="Q768" s="122"/>
      <c r="R768" s="122"/>
      <c r="S768" s="122"/>
      <c r="T768" s="122"/>
      <c r="U768" s="122"/>
      <c r="V768" s="124"/>
      <c r="W768" s="125"/>
      <c r="X768" s="122"/>
      <c r="Y768" s="122"/>
      <c r="Z768" s="122"/>
      <c r="AA768" s="126"/>
      <c r="AB768" s="122"/>
      <c r="AC768" s="122"/>
      <c r="AD768" s="127"/>
      <c r="AE768" s="127"/>
      <c r="AF768" s="127"/>
      <c r="AG768" s="127"/>
      <c r="AH768" s="124"/>
      <c r="AI768" s="127"/>
      <c r="AJ768" s="127"/>
      <c r="AK768" s="126"/>
      <c r="AL768" s="122"/>
      <c r="AM768" s="122"/>
      <c r="AN768" s="122"/>
      <c r="AO768" s="122"/>
      <c r="AP768" s="122"/>
      <c r="AQ768" s="124"/>
    </row>
    <row r="769" spans="1:43" ht="15.75" customHeight="1">
      <c r="A769" s="122"/>
      <c r="B769" s="122"/>
      <c r="C769" s="122"/>
      <c r="D769" s="122"/>
      <c r="E769" s="122"/>
      <c r="F769" s="122"/>
      <c r="G769" s="122"/>
      <c r="H769" s="122"/>
      <c r="I769" s="122"/>
      <c r="J769" s="122"/>
      <c r="K769" s="122"/>
      <c r="L769" s="122"/>
      <c r="M769" s="123"/>
      <c r="N769" s="123"/>
      <c r="O769" s="122"/>
      <c r="P769" s="124"/>
      <c r="Q769" s="122"/>
      <c r="R769" s="122"/>
      <c r="S769" s="122"/>
      <c r="T769" s="122"/>
      <c r="U769" s="122"/>
      <c r="V769" s="124"/>
      <c r="W769" s="125"/>
      <c r="X769" s="122"/>
      <c r="Y769" s="122"/>
      <c r="Z769" s="122"/>
      <c r="AA769" s="126"/>
      <c r="AB769" s="122"/>
      <c r="AC769" s="122"/>
      <c r="AD769" s="127"/>
      <c r="AE769" s="127"/>
      <c r="AF769" s="127"/>
      <c r="AG769" s="127"/>
      <c r="AH769" s="124"/>
      <c r="AI769" s="127"/>
      <c r="AJ769" s="127"/>
      <c r="AK769" s="126"/>
      <c r="AL769" s="122"/>
      <c r="AM769" s="122"/>
      <c r="AN769" s="122"/>
      <c r="AO769" s="122"/>
      <c r="AP769" s="122"/>
      <c r="AQ769" s="124"/>
    </row>
    <row r="770" spans="1:43" ht="15.75" customHeight="1">
      <c r="A770" s="122"/>
      <c r="B770" s="122"/>
      <c r="C770" s="122"/>
      <c r="D770" s="122"/>
      <c r="E770" s="122"/>
      <c r="F770" s="122"/>
      <c r="G770" s="122"/>
      <c r="H770" s="122"/>
      <c r="I770" s="122"/>
      <c r="J770" s="122"/>
      <c r="K770" s="122"/>
      <c r="L770" s="122"/>
      <c r="M770" s="123"/>
      <c r="N770" s="123"/>
      <c r="O770" s="122"/>
      <c r="P770" s="124"/>
      <c r="Q770" s="122"/>
      <c r="R770" s="122"/>
      <c r="S770" s="122"/>
      <c r="T770" s="122"/>
      <c r="U770" s="122"/>
      <c r="V770" s="124"/>
      <c r="W770" s="125"/>
      <c r="X770" s="122"/>
      <c r="Y770" s="122"/>
      <c r="Z770" s="122"/>
      <c r="AA770" s="126"/>
      <c r="AB770" s="122"/>
      <c r="AC770" s="122"/>
      <c r="AD770" s="127"/>
      <c r="AE770" s="127"/>
      <c r="AF770" s="127"/>
      <c r="AG770" s="127"/>
      <c r="AH770" s="124"/>
      <c r="AI770" s="127"/>
      <c r="AJ770" s="127"/>
      <c r="AK770" s="126"/>
      <c r="AL770" s="122"/>
      <c r="AM770" s="122"/>
      <c r="AN770" s="122"/>
      <c r="AO770" s="122"/>
      <c r="AP770" s="122"/>
      <c r="AQ770" s="124"/>
    </row>
    <row r="771" spans="1:43" ht="15.75" customHeight="1">
      <c r="A771" s="122"/>
      <c r="B771" s="122"/>
      <c r="C771" s="122"/>
      <c r="D771" s="122"/>
      <c r="E771" s="122"/>
      <c r="F771" s="122"/>
      <c r="G771" s="122"/>
      <c r="H771" s="122"/>
      <c r="I771" s="122"/>
      <c r="J771" s="122"/>
      <c r="K771" s="122"/>
      <c r="L771" s="122"/>
      <c r="M771" s="123"/>
      <c r="N771" s="123"/>
      <c r="O771" s="122"/>
      <c r="P771" s="124"/>
      <c r="Q771" s="122"/>
      <c r="R771" s="122"/>
      <c r="S771" s="122"/>
      <c r="T771" s="122"/>
      <c r="U771" s="122"/>
      <c r="V771" s="124"/>
      <c r="W771" s="125"/>
      <c r="X771" s="122"/>
      <c r="Y771" s="122"/>
      <c r="Z771" s="122"/>
      <c r="AA771" s="126"/>
      <c r="AB771" s="122"/>
      <c r="AC771" s="122"/>
      <c r="AD771" s="127"/>
      <c r="AE771" s="127"/>
      <c r="AF771" s="127"/>
      <c r="AG771" s="127"/>
      <c r="AH771" s="124"/>
      <c r="AI771" s="127"/>
      <c r="AJ771" s="127"/>
      <c r="AK771" s="126"/>
      <c r="AL771" s="122"/>
      <c r="AM771" s="122"/>
      <c r="AN771" s="122"/>
      <c r="AO771" s="122"/>
      <c r="AP771" s="122"/>
      <c r="AQ771" s="124"/>
    </row>
    <row r="772" spans="1:43" ht="15.75" customHeight="1">
      <c r="A772" s="122"/>
      <c r="B772" s="122"/>
      <c r="C772" s="122"/>
      <c r="D772" s="122"/>
      <c r="E772" s="122"/>
      <c r="F772" s="122"/>
      <c r="G772" s="122"/>
      <c r="H772" s="122"/>
      <c r="I772" s="122"/>
      <c r="J772" s="122"/>
      <c r="K772" s="122"/>
      <c r="L772" s="122"/>
      <c r="M772" s="123"/>
      <c r="N772" s="123"/>
      <c r="O772" s="122"/>
      <c r="P772" s="124"/>
      <c r="Q772" s="122"/>
      <c r="R772" s="122"/>
      <c r="S772" s="122"/>
      <c r="T772" s="122"/>
      <c r="U772" s="122"/>
      <c r="V772" s="124"/>
      <c r="W772" s="125"/>
      <c r="X772" s="122"/>
      <c r="Y772" s="122"/>
      <c r="Z772" s="122"/>
      <c r="AA772" s="126"/>
      <c r="AB772" s="122"/>
      <c r="AC772" s="122"/>
      <c r="AD772" s="127"/>
      <c r="AE772" s="127"/>
      <c r="AF772" s="127"/>
      <c r="AG772" s="127"/>
      <c r="AH772" s="124"/>
      <c r="AI772" s="127"/>
      <c r="AJ772" s="127"/>
      <c r="AK772" s="126"/>
      <c r="AL772" s="122"/>
      <c r="AM772" s="122"/>
      <c r="AN772" s="122"/>
      <c r="AO772" s="122"/>
      <c r="AP772" s="122"/>
      <c r="AQ772" s="124"/>
    </row>
    <row r="773" spans="1:43" ht="15.75" customHeight="1">
      <c r="A773" s="122"/>
      <c r="B773" s="122"/>
      <c r="C773" s="122"/>
      <c r="D773" s="122"/>
      <c r="E773" s="122"/>
      <c r="F773" s="122"/>
      <c r="G773" s="122"/>
      <c r="H773" s="122"/>
      <c r="I773" s="122"/>
      <c r="J773" s="122"/>
      <c r="K773" s="122"/>
      <c r="L773" s="122"/>
      <c r="M773" s="123"/>
      <c r="N773" s="123"/>
      <c r="O773" s="122"/>
      <c r="P773" s="124"/>
      <c r="Q773" s="122"/>
      <c r="R773" s="122"/>
      <c r="S773" s="122"/>
      <c r="T773" s="122"/>
      <c r="U773" s="122"/>
      <c r="V773" s="124"/>
      <c r="W773" s="125"/>
      <c r="X773" s="122"/>
      <c r="Y773" s="122"/>
      <c r="Z773" s="122"/>
      <c r="AA773" s="126"/>
      <c r="AB773" s="122"/>
      <c r="AC773" s="122"/>
      <c r="AD773" s="127"/>
      <c r="AE773" s="127"/>
      <c r="AF773" s="127"/>
      <c r="AG773" s="127"/>
      <c r="AH773" s="124"/>
      <c r="AI773" s="127"/>
      <c r="AJ773" s="127"/>
      <c r="AK773" s="126"/>
      <c r="AL773" s="122"/>
      <c r="AM773" s="122"/>
      <c r="AN773" s="122"/>
      <c r="AO773" s="122"/>
      <c r="AP773" s="122"/>
      <c r="AQ773" s="124"/>
    </row>
    <row r="774" spans="1:43" ht="15.75" customHeight="1">
      <c r="A774" s="122"/>
      <c r="B774" s="122"/>
      <c r="C774" s="122"/>
      <c r="D774" s="122"/>
      <c r="E774" s="122"/>
      <c r="F774" s="122"/>
      <c r="G774" s="122"/>
      <c r="H774" s="122"/>
      <c r="I774" s="122"/>
      <c r="J774" s="122"/>
      <c r="K774" s="122"/>
      <c r="L774" s="122"/>
      <c r="M774" s="123"/>
      <c r="N774" s="123"/>
      <c r="O774" s="122"/>
      <c r="P774" s="124"/>
      <c r="Q774" s="122"/>
      <c r="R774" s="122"/>
      <c r="S774" s="122"/>
      <c r="T774" s="122"/>
      <c r="U774" s="122"/>
      <c r="V774" s="124"/>
      <c r="W774" s="125"/>
      <c r="X774" s="122"/>
      <c r="Y774" s="122"/>
      <c r="Z774" s="122"/>
      <c r="AA774" s="126"/>
      <c r="AB774" s="122"/>
      <c r="AC774" s="122"/>
      <c r="AD774" s="127"/>
      <c r="AE774" s="127"/>
      <c r="AF774" s="127"/>
      <c r="AG774" s="127"/>
      <c r="AH774" s="124"/>
      <c r="AI774" s="127"/>
      <c r="AJ774" s="127"/>
      <c r="AK774" s="126"/>
      <c r="AL774" s="122"/>
      <c r="AM774" s="122"/>
      <c r="AN774" s="122"/>
      <c r="AO774" s="122"/>
      <c r="AP774" s="122"/>
      <c r="AQ774" s="124"/>
    </row>
    <row r="775" spans="1:43" ht="15.75" customHeight="1">
      <c r="A775" s="122"/>
      <c r="B775" s="122"/>
      <c r="C775" s="122"/>
      <c r="D775" s="122"/>
      <c r="E775" s="122"/>
      <c r="F775" s="122"/>
      <c r="G775" s="122"/>
      <c r="H775" s="122"/>
      <c r="I775" s="122"/>
      <c r="J775" s="122"/>
      <c r="K775" s="122"/>
      <c r="L775" s="122"/>
      <c r="M775" s="123"/>
      <c r="N775" s="123"/>
      <c r="O775" s="122"/>
      <c r="P775" s="124"/>
      <c r="Q775" s="122"/>
      <c r="R775" s="122"/>
      <c r="S775" s="122"/>
      <c r="T775" s="122"/>
      <c r="U775" s="122"/>
      <c r="V775" s="124"/>
      <c r="W775" s="125"/>
      <c r="X775" s="122"/>
      <c r="Y775" s="122"/>
      <c r="Z775" s="122"/>
      <c r="AA775" s="126"/>
      <c r="AB775" s="122"/>
      <c r="AC775" s="122"/>
      <c r="AD775" s="127"/>
      <c r="AE775" s="127"/>
      <c r="AF775" s="127"/>
      <c r="AG775" s="127"/>
      <c r="AH775" s="124"/>
      <c r="AI775" s="127"/>
      <c r="AJ775" s="127"/>
      <c r="AK775" s="126"/>
      <c r="AL775" s="122"/>
      <c r="AM775" s="122"/>
      <c r="AN775" s="122"/>
      <c r="AO775" s="122"/>
      <c r="AP775" s="122"/>
      <c r="AQ775" s="124"/>
    </row>
    <row r="776" spans="1:43" ht="15.75" customHeight="1">
      <c r="A776" s="122"/>
      <c r="B776" s="122"/>
      <c r="C776" s="122"/>
      <c r="D776" s="122"/>
      <c r="E776" s="122"/>
      <c r="F776" s="122"/>
      <c r="G776" s="122"/>
      <c r="H776" s="122"/>
      <c r="I776" s="122"/>
      <c r="J776" s="122"/>
      <c r="K776" s="122"/>
      <c r="L776" s="122"/>
      <c r="M776" s="123"/>
      <c r="N776" s="123"/>
      <c r="O776" s="122"/>
      <c r="P776" s="124"/>
      <c r="Q776" s="122"/>
      <c r="R776" s="122"/>
      <c r="S776" s="122"/>
      <c r="T776" s="122"/>
      <c r="U776" s="122"/>
      <c r="V776" s="124"/>
      <c r="W776" s="125"/>
      <c r="X776" s="122"/>
      <c r="Y776" s="122"/>
      <c r="Z776" s="122"/>
      <c r="AA776" s="126"/>
      <c r="AB776" s="122"/>
      <c r="AC776" s="122"/>
      <c r="AD776" s="127"/>
      <c r="AE776" s="127"/>
      <c r="AF776" s="127"/>
      <c r="AG776" s="127"/>
      <c r="AH776" s="124"/>
      <c r="AI776" s="127"/>
      <c r="AJ776" s="127"/>
      <c r="AK776" s="126"/>
      <c r="AL776" s="122"/>
      <c r="AM776" s="122"/>
      <c r="AN776" s="122"/>
      <c r="AO776" s="122"/>
      <c r="AP776" s="122"/>
      <c r="AQ776" s="124"/>
    </row>
    <row r="777" spans="1:43" ht="15.75" customHeight="1">
      <c r="A777" s="122"/>
      <c r="B777" s="122"/>
      <c r="C777" s="122"/>
      <c r="D777" s="122"/>
      <c r="E777" s="122"/>
      <c r="F777" s="122"/>
      <c r="G777" s="122"/>
      <c r="H777" s="122"/>
      <c r="I777" s="122"/>
      <c r="J777" s="122"/>
      <c r="K777" s="122"/>
      <c r="L777" s="122"/>
      <c r="M777" s="123"/>
      <c r="N777" s="123"/>
      <c r="O777" s="122"/>
      <c r="P777" s="124"/>
      <c r="Q777" s="122"/>
      <c r="R777" s="122"/>
      <c r="S777" s="122"/>
      <c r="T777" s="122"/>
      <c r="U777" s="122"/>
      <c r="V777" s="124"/>
      <c r="W777" s="125"/>
      <c r="X777" s="122"/>
      <c r="Y777" s="122"/>
      <c r="Z777" s="122"/>
      <c r="AA777" s="126"/>
      <c r="AB777" s="122"/>
      <c r="AC777" s="122"/>
      <c r="AD777" s="127"/>
      <c r="AE777" s="127"/>
      <c r="AF777" s="127"/>
      <c r="AG777" s="127"/>
      <c r="AH777" s="124"/>
      <c r="AI777" s="127"/>
      <c r="AJ777" s="127"/>
      <c r="AK777" s="126"/>
      <c r="AL777" s="122"/>
      <c r="AM777" s="122"/>
      <c r="AN777" s="122"/>
      <c r="AO777" s="122"/>
      <c r="AP777" s="122"/>
      <c r="AQ777" s="124"/>
    </row>
    <row r="778" spans="1:43" ht="15.75" customHeight="1">
      <c r="A778" s="122"/>
      <c r="B778" s="122"/>
      <c r="C778" s="122"/>
      <c r="D778" s="122"/>
      <c r="E778" s="122"/>
      <c r="F778" s="122"/>
      <c r="G778" s="122"/>
      <c r="H778" s="122"/>
      <c r="I778" s="122"/>
      <c r="J778" s="122"/>
      <c r="K778" s="122"/>
      <c r="L778" s="122"/>
      <c r="M778" s="123"/>
      <c r="N778" s="123"/>
      <c r="O778" s="122"/>
      <c r="P778" s="124"/>
      <c r="Q778" s="122"/>
      <c r="R778" s="122"/>
      <c r="S778" s="122"/>
      <c r="T778" s="122"/>
      <c r="U778" s="122"/>
      <c r="V778" s="124"/>
      <c r="W778" s="125"/>
      <c r="X778" s="122"/>
      <c r="Y778" s="122"/>
      <c r="Z778" s="122"/>
      <c r="AA778" s="126"/>
      <c r="AB778" s="122"/>
      <c r="AC778" s="122"/>
      <c r="AD778" s="127"/>
      <c r="AE778" s="127"/>
      <c r="AF778" s="127"/>
      <c r="AG778" s="127"/>
      <c r="AH778" s="124"/>
      <c r="AI778" s="127"/>
      <c r="AJ778" s="127"/>
      <c r="AK778" s="126"/>
      <c r="AL778" s="122"/>
      <c r="AM778" s="122"/>
      <c r="AN778" s="122"/>
      <c r="AO778" s="122"/>
      <c r="AP778" s="122"/>
      <c r="AQ778" s="124"/>
    </row>
    <row r="779" spans="1:43" ht="15.75" customHeight="1">
      <c r="A779" s="122"/>
      <c r="B779" s="122"/>
      <c r="C779" s="122"/>
      <c r="D779" s="122"/>
      <c r="E779" s="122"/>
      <c r="F779" s="122"/>
      <c r="G779" s="122"/>
      <c r="H779" s="122"/>
      <c r="I779" s="122"/>
      <c r="J779" s="122"/>
      <c r="K779" s="122"/>
      <c r="L779" s="122"/>
      <c r="M779" s="123"/>
      <c r="N779" s="123"/>
      <c r="O779" s="122"/>
      <c r="P779" s="124"/>
      <c r="Q779" s="122"/>
      <c r="R779" s="122"/>
      <c r="S779" s="122"/>
      <c r="T779" s="122"/>
      <c r="U779" s="122"/>
      <c r="V779" s="124"/>
      <c r="W779" s="125"/>
      <c r="X779" s="122"/>
      <c r="Y779" s="122"/>
      <c r="Z779" s="122"/>
      <c r="AA779" s="126"/>
      <c r="AB779" s="122"/>
      <c r="AC779" s="122"/>
      <c r="AD779" s="127"/>
      <c r="AE779" s="127"/>
      <c r="AF779" s="127"/>
      <c r="AG779" s="127"/>
      <c r="AH779" s="124"/>
      <c r="AI779" s="127"/>
      <c r="AJ779" s="127"/>
      <c r="AK779" s="126"/>
      <c r="AL779" s="122"/>
      <c r="AM779" s="122"/>
      <c r="AN779" s="122"/>
      <c r="AO779" s="122"/>
      <c r="AP779" s="122"/>
      <c r="AQ779" s="124"/>
    </row>
    <row r="780" spans="1:43" ht="15.75" customHeight="1">
      <c r="A780" s="122"/>
      <c r="B780" s="122"/>
      <c r="C780" s="122"/>
      <c r="D780" s="122"/>
      <c r="E780" s="122"/>
      <c r="F780" s="122"/>
      <c r="G780" s="122"/>
      <c r="H780" s="122"/>
      <c r="I780" s="122"/>
      <c r="J780" s="122"/>
      <c r="K780" s="122"/>
      <c r="L780" s="122"/>
      <c r="M780" s="123"/>
      <c r="N780" s="123"/>
      <c r="O780" s="122"/>
      <c r="P780" s="124"/>
      <c r="Q780" s="122"/>
      <c r="R780" s="122"/>
      <c r="S780" s="122"/>
      <c r="T780" s="122"/>
      <c r="U780" s="122"/>
      <c r="V780" s="124"/>
      <c r="W780" s="125"/>
      <c r="X780" s="122"/>
      <c r="Y780" s="122"/>
      <c r="Z780" s="122"/>
      <c r="AA780" s="126"/>
      <c r="AB780" s="122"/>
      <c r="AC780" s="122"/>
      <c r="AD780" s="127"/>
      <c r="AE780" s="127"/>
      <c r="AF780" s="127"/>
      <c r="AG780" s="127"/>
      <c r="AH780" s="124"/>
      <c r="AI780" s="127"/>
      <c r="AJ780" s="127"/>
      <c r="AK780" s="126"/>
      <c r="AL780" s="122"/>
      <c r="AM780" s="122"/>
      <c r="AN780" s="122"/>
      <c r="AO780" s="122"/>
      <c r="AP780" s="122"/>
      <c r="AQ780" s="124"/>
    </row>
    <row r="781" spans="1:43" ht="15.75" customHeight="1">
      <c r="A781" s="122"/>
      <c r="B781" s="122"/>
      <c r="C781" s="122"/>
      <c r="D781" s="122"/>
      <c r="E781" s="122"/>
      <c r="F781" s="122"/>
      <c r="G781" s="122"/>
      <c r="H781" s="122"/>
      <c r="I781" s="122"/>
      <c r="J781" s="122"/>
      <c r="K781" s="122"/>
      <c r="L781" s="122"/>
      <c r="M781" s="123"/>
      <c r="N781" s="123"/>
      <c r="O781" s="122"/>
      <c r="P781" s="124"/>
      <c r="Q781" s="122"/>
      <c r="R781" s="122"/>
      <c r="S781" s="122"/>
      <c r="T781" s="122"/>
      <c r="U781" s="122"/>
      <c r="V781" s="124"/>
      <c r="W781" s="125"/>
      <c r="X781" s="122"/>
      <c r="Y781" s="122"/>
      <c r="Z781" s="122"/>
      <c r="AA781" s="126"/>
      <c r="AB781" s="122"/>
      <c r="AC781" s="122"/>
      <c r="AD781" s="127"/>
      <c r="AE781" s="127"/>
      <c r="AF781" s="127"/>
      <c r="AG781" s="127"/>
      <c r="AH781" s="124"/>
      <c r="AI781" s="127"/>
      <c r="AJ781" s="127"/>
      <c r="AK781" s="126"/>
      <c r="AL781" s="122"/>
      <c r="AM781" s="122"/>
      <c r="AN781" s="122"/>
      <c r="AO781" s="122"/>
      <c r="AP781" s="122"/>
      <c r="AQ781" s="124"/>
    </row>
    <row r="782" spans="1:43" ht="15.75" customHeight="1">
      <c r="A782" s="122"/>
      <c r="B782" s="122"/>
      <c r="C782" s="122"/>
      <c r="D782" s="122"/>
      <c r="E782" s="122"/>
      <c r="F782" s="122"/>
      <c r="G782" s="122"/>
      <c r="H782" s="122"/>
      <c r="I782" s="122"/>
      <c r="J782" s="122"/>
      <c r="K782" s="122"/>
      <c r="L782" s="122"/>
      <c r="M782" s="123"/>
      <c r="N782" s="123"/>
      <c r="O782" s="122"/>
      <c r="P782" s="124"/>
      <c r="Q782" s="122"/>
      <c r="R782" s="122"/>
      <c r="S782" s="122"/>
      <c r="T782" s="122"/>
      <c r="U782" s="122"/>
      <c r="V782" s="124"/>
      <c r="W782" s="125"/>
      <c r="X782" s="122"/>
      <c r="Y782" s="122"/>
      <c r="Z782" s="122"/>
      <c r="AA782" s="126"/>
      <c r="AB782" s="122"/>
      <c r="AC782" s="122"/>
      <c r="AD782" s="127"/>
      <c r="AE782" s="127"/>
      <c r="AF782" s="127"/>
      <c r="AG782" s="127"/>
      <c r="AH782" s="124"/>
      <c r="AI782" s="127"/>
      <c r="AJ782" s="127"/>
      <c r="AK782" s="126"/>
      <c r="AL782" s="122"/>
      <c r="AM782" s="122"/>
      <c r="AN782" s="122"/>
      <c r="AO782" s="122"/>
      <c r="AP782" s="122"/>
      <c r="AQ782" s="124"/>
    </row>
    <row r="783" spans="1:43" ht="15.75" customHeight="1">
      <c r="A783" s="122"/>
      <c r="B783" s="122"/>
      <c r="C783" s="122"/>
      <c r="D783" s="122"/>
      <c r="E783" s="122"/>
      <c r="F783" s="122"/>
      <c r="G783" s="122"/>
      <c r="H783" s="122"/>
      <c r="I783" s="122"/>
      <c r="J783" s="122"/>
      <c r="K783" s="122"/>
      <c r="L783" s="122"/>
      <c r="M783" s="123"/>
      <c r="N783" s="123"/>
      <c r="O783" s="122"/>
      <c r="P783" s="124"/>
      <c r="Q783" s="122"/>
      <c r="R783" s="122"/>
      <c r="S783" s="122"/>
      <c r="T783" s="122"/>
      <c r="U783" s="122"/>
      <c r="V783" s="124"/>
      <c r="W783" s="125"/>
      <c r="X783" s="122"/>
      <c r="Y783" s="122"/>
      <c r="Z783" s="122"/>
      <c r="AA783" s="126"/>
      <c r="AB783" s="122"/>
      <c r="AC783" s="122"/>
      <c r="AD783" s="127"/>
      <c r="AE783" s="127"/>
      <c r="AF783" s="127"/>
      <c r="AG783" s="127"/>
      <c r="AH783" s="124"/>
      <c r="AI783" s="127"/>
      <c r="AJ783" s="127"/>
      <c r="AK783" s="126"/>
      <c r="AL783" s="122"/>
      <c r="AM783" s="122"/>
      <c r="AN783" s="122"/>
      <c r="AO783" s="122"/>
      <c r="AP783" s="122"/>
      <c r="AQ783" s="124"/>
    </row>
    <row r="784" spans="1:43" ht="15.75" customHeight="1">
      <c r="A784" s="122"/>
      <c r="B784" s="122"/>
      <c r="C784" s="122"/>
      <c r="D784" s="122"/>
      <c r="E784" s="122"/>
      <c r="F784" s="122"/>
      <c r="G784" s="122"/>
      <c r="H784" s="122"/>
      <c r="I784" s="122"/>
      <c r="J784" s="122"/>
      <c r="K784" s="122"/>
      <c r="L784" s="122"/>
      <c r="M784" s="123"/>
      <c r="N784" s="123"/>
      <c r="O784" s="122"/>
      <c r="P784" s="124"/>
      <c r="Q784" s="122"/>
      <c r="R784" s="122"/>
      <c r="S784" s="122"/>
      <c r="T784" s="122"/>
      <c r="U784" s="122"/>
      <c r="V784" s="124"/>
      <c r="W784" s="125"/>
      <c r="X784" s="122"/>
      <c r="Y784" s="122"/>
      <c r="Z784" s="122"/>
      <c r="AA784" s="126"/>
      <c r="AB784" s="122"/>
      <c r="AC784" s="122"/>
      <c r="AD784" s="127"/>
      <c r="AE784" s="127"/>
      <c r="AF784" s="127"/>
      <c r="AG784" s="127"/>
      <c r="AH784" s="124"/>
      <c r="AI784" s="127"/>
      <c r="AJ784" s="127"/>
      <c r="AK784" s="126"/>
      <c r="AL784" s="122"/>
      <c r="AM784" s="122"/>
      <c r="AN784" s="122"/>
      <c r="AO784" s="122"/>
      <c r="AP784" s="122"/>
      <c r="AQ784" s="124"/>
    </row>
    <row r="785" spans="1:43" ht="15.75" customHeight="1">
      <c r="A785" s="122"/>
      <c r="B785" s="122"/>
      <c r="C785" s="122"/>
      <c r="D785" s="122"/>
      <c r="E785" s="122"/>
      <c r="F785" s="122"/>
      <c r="G785" s="122"/>
      <c r="H785" s="122"/>
      <c r="I785" s="122"/>
      <c r="J785" s="122"/>
      <c r="K785" s="122"/>
      <c r="L785" s="122"/>
      <c r="M785" s="123"/>
      <c r="N785" s="123"/>
      <c r="O785" s="122"/>
      <c r="P785" s="124"/>
      <c r="Q785" s="122"/>
      <c r="R785" s="122"/>
      <c r="S785" s="122"/>
      <c r="T785" s="122"/>
      <c r="U785" s="122"/>
      <c r="V785" s="124"/>
      <c r="W785" s="125"/>
      <c r="X785" s="122"/>
      <c r="Y785" s="122"/>
      <c r="Z785" s="122"/>
      <c r="AA785" s="126"/>
      <c r="AB785" s="122"/>
      <c r="AC785" s="122"/>
      <c r="AD785" s="127"/>
      <c r="AE785" s="127"/>
      <c r="AF785" s="127"/>
      <c r="AG785" s="127"/>
      <c r="AH785" s="124"/>
      <c r="AI785" s="127"/>
      <c r="AJ785" s="127"/>
      <c r="AK785" s="126"/>
      <c r="AL785" s="122"/>
      <c r="AM785" s="122"/>
      <c r="AN785" s="122"/>
      <c r="AO785" s="122"/>
      <c r="AP785" s="122"/>
      <c r="AQ785" s="124"/>
    </row>
    <row r="786" spans="1:43" ht="15.75" customHeight="1">
      <c r="A786" s="122"/>
      <c r="B786" s="122"/>
      <c r="C786" s="122"/>
      <c r="D786" s="122"/>
      <c r="E786" s="122"/>
      <c r="F786" s="122"/>
      <c r="G786" s="122"/>
      <c r="H786" s="122"/>
      <c r="I786" s="122"/>
      <c r="J786" s="122"/>
      <c r="K786" s="122"/>
      <c r="L786" s="122"/>
      <c r="M786" s="123"/>
      <c r="N786" s="123"/>
      <c r="O786" s="122"/>
      <c r="P786" s="124"/>
      <c r="Q786" s="122"/>
      <c r="R786" s="122"/>
      <c r="S786" s="122"/>
      <c r="T786" s="122"/>
      <c r="U786" s="122"/>
      <c r="V786" s="124"/>
      <c r="W786" s="125"/>
      <c r="X786" s="122"/>
      <c r="Y786" s="122"/>
      <c r="Z786" s="122"/>
      <c r="AA786" s="126"/>
      <c r="AB786" s="122"/>
      <c r="AC786" s="122"/>
      <c r="AD786" s="127"/>
      <c r="AE786" s="127"/>
      <c r="AF786" s="127"/>
      <c r="AG786" s="127"/>
      <c r="AH786" s="124"/>
      <c r="AI786" s="127"/>
      <c r="AJ786" s="127"/>
      <c r="AK786" s="126"/>
      <c r="AL786" s="122"/>
      <c r="AM786" s="122"/>
      <c r="AN786" s="122"/>
      <c r="AO786" s="122"/>
      <c r="AP786" s="122"/>
      <c r="AQ786" s="124"/>
    </row>
    <row r="787" spans="1:43" ht="15.75" customHeight="1">
      <c r="A787" s="122"/>
      <c r="B787" s="122"/>
      <c r="C787" s="122"/>
      <c r="D787" s="122"/>
      <c r="E787" s="122"/>
      <c r="F787" s="122"/>
      <c r="G787" s="122"/>
      <c r="H787" s="122"/>
      <c r="I787" s="122"/>
      <c r="J787" s="122"/>
      <c r="K787" s="122"/>
      <c r="L787" s="122"/>
      <c r="M787" s="123"/>
      <c r="N787" s="123"/>
      <c r="O787" s="122"/>
      <c r="P787" s="124"/>
      <c r="Q787" s="122"/>
      <c r="R787" s="122"/>
      <c r="S787" s="122"/>
      <c r="T787" s="122"/>
      <c r="U787" s="122"/>
      <c r="V787" s="124"/>
      <c r="W787" s="125"/>
      <c r="X787" s="122"/>
      <c r="Y787" s="122"/>
      <c r="Z787" s="122"/>
      <c r="AA787" s="126"/>
      <c r="AB787" s="122"/>
      <c r="AC787" s="122"/>
      <c r="AD787" s="127"/>
      <c r="AE787" s="127"/>
      <c r="AF787" s="127"/>
      <c r="AG787" s="127"/>
      <c r="AH787" s="124"/>
      <c r="AI787" s="127"/>
      <c r="AJ787" s="127"/>
      <c r="AK787" s="126"/>
      <c r="AL787" s="122"/>
      <c r="AM787" s="122"/>
      <c r="AN787" s="122"/>
      <c r="AO787" s="122"/>
      <c r="AP787" s="122"/>
      <c r="AQ787" s="124"/>
    </row>
    <row r="788" spans="1:43" ht="15.75" customHeight="1">
      <c r="A788" s="122"/>
      <c r="B788" s="122"/>
      <c r="C788" s="122"/>
      <c r="D788" s="122"/>
      <c r="E788" s="122"/>
      <c r="F788" s="122"/>
      <c r="G788" s="122"/>
      <c r="H788" s="122"/>
      <c r="I788" s="122"/>
      <c r="J788" s="122"/>
      <c r="K788" s="122"/>
      <c r="L788" s="122"/>
      <c r="M788" s="123"/>
      <c r="N788" s="123"/>
      <c r="O788" s="122"/>
      <c r="P788" s="124"/>
      <c r="Q788" s="122"/>
      <c r="R788" s="122"/>
      <c r="S788" s="122"/>
      <c r="T788" s="122"/>
      <c r="U788" s="122"/>
      <c r="V788" s="124"/>
      <c r="W788" s="125"/>
      <c r="X788" s="122"/>
      <c r="Y788" s="122"/>
      <c r="Z788" s="122"/>
      <c r="AA788" s="126"/>
      <c r="AB788" s="122"/>
      <c r="AC788" s="122"/>
      <c r="AD788" s="127"/>
      <c r="AE788" s="127"/>
      <c r="AF788" s="127"/>
      <c r="AG788" s="127"/>
      <c r="AH788" s="124"/>
      <c r="AI788" s="127"/>
      <c r="AJ788" s="127"/>
      <c r="AK788" s="126"/>
      <c r="AL788" s="122"/>
      <c r="AM788" s="122"/>
      <c r="AN788" s="122"/>
      <c r="AO788" s="122"/>
      <c r="AP788" s="122"/>
      <c r="AQ788" s="124"/>
    </row>
    <row r="789" spans="1:43" ht="15.75" customHeight="1">
      <c r="A789" s="122"/>
      <c r="B789" s="122"/>
      <c r="C789" s="122"/>
      <c r="D789" s="122"/>
      <c r="E789" s="122"/>
      <c r="F789" s="122"/>
      <c r="G789" s="122"/>
      <c r="H789" s="122"/>
      <c r="I789" s="122"/>
      <c r="J789" s="122"/>
      <c r="K789" s="122"/>
      <c r="L789" s="122"/>
      <c r="M789" s="123"/>
      <c r="N789" s="123"/>
      <c r="O789" s="122"/>
      <c r="P789" s="124"/>
      <c r="Q789" s="122"/>
      <c r="R789" s="122"/>
      <c r="S789" s="122"/>
      <c r="T789" s="122"/>
      <c r="U789" s="122"/>
      <c r="V789" s="124"/>
      <c r="W789" s="125"/>
      <c r="X789" s="122"/>
      <c r="Y789" s="122"/>
      <c r="Z789" s="122"/>
      <c r="AA789" s="126"/>
      <c r="AB789" s="122"/>
      <c r="AC789" s="122"/>
      <c r="AD789" s="127"/>
      <c r="AE789" s="127"/>
      <c r="AF789" s="127"/>
      <c r="AG789" s="127"/>
      <c r="AH789" s="124"/>
      <c r="AI789" s="127"/>
      <c r="AJ789" s="127"/>
      <c r="AK789" s="126"/>
      <c r="AL789" s="122"/>
      <c r="AM789" s="122"/>
      <c r="AN789" s="122"/>
      <c r="AO789" s="122"/>
      <c r="AP789" s="122"/>
      <c r="AQ789" s="124"/>
    </row>
    <row r="790" spans="1:43" ht="15.75" customHeight="1">
      <c r="A790" s="122"/>
      <c r="B790" s="122"/>
      <c r="C790" s="122"/>
      <c r="D790" s="122"/>
      <c r="E790" s="122"/>
      <c r="F790" s="122"/>
      <c r="G790" s="122"/>
      <c r="H790" s="122"/>
      <c r="I790" s="122"/>
      <c r="J790" s="122"/>
      <c r="K790" s="122"/>
      <c r="L790" s="122"/>
      <c r="M790" s="123"/>
      <c r="N790" s="123"/>
      <c r="O790" s="122"/>
      <c r="P790" s="124"/>
      <c r="Q790" s="122"/>
      <c r="R790" s="122"/>
      <c r="S790" s="122"/>
      <c r="T790" s="122"/>
      <c r="U790" s="122"/>
      <c r="V790" s="124"/>
      <c r="W790" s="125"/>
      <c r="X790" s="122"/>
      <c r="Y790" s="122"/>
      <c r="Z790" s="122"/>
      <c r="AA790" s="126"/>
      <c r="AB790" s="122"/>
      <c r="AC790" s="122"/>
      <c r="AD790" s="127"/>
      <c r="AE790" s="127"/>
      <c r="AF790" s="127"/>
      <c r="AG790" s="127"/>
      <c r="AH790" s="124"/>
      <c r="AI790" s="127"/>
      <c r="AJ790" s="127"/>
      <c r="AK790" s="126"/>
      <c r="AL790" s="122"/>
      <c r="AM790" s="122"/>
      <c r="AN790" s="122"/>
      <c r="AO790" s="122"/>
      <c r="AP790" s="122"/>
      <c r="AQ790" s="124"/>
    </row>
    <row r="791" spans="1:43" ht="15.75" customHeight="1">
      <c r="A791" s="122"/>
      <c r="B791" s="122"/>
      <c r="C791" s="122"/>
      <c r="D791" s="122"/>
      <c r="E791" s="122"/>
      <c r="F791" s="122"/>
      <c r="G791" s="122"/>
      <c r="H791" s="122"/>
      <c r="I791" s="122"/>
      <c r="J791" s="122"/>
      <c r="K791" s="122"/>
      <c r="L791" s="122"/>
      <c r="M791" s="123"/>
      <c r="N791" s="123"/>
      <c r="O791" s="122"/>
      <c r="P791" s="124"/>
      <c r="Q791" s="122"/>
      <c r="R791" s="122"/>
      <c r="S791" s="122"/>
      <c r="T791" s="122"/>
      <c r="U791" s="122"/>
      <c r="V791" s="124"/>
      <c r="W791" s="125"/>
      <c r="X791" s="122"/>
      <c r="Y791" s="122"/>
      <c r="Z791" s="122"/>
      <c r="AA791" s="126"/>
      <c r="AB791" s="122"/>
      <c r="AC791" s="122"/>
      <c r="AD791" s="127"/>
      <c r="AE791" s="127"/>
      <c r="AF791" s="127"/>
      <c r="AG791" s="127"/>
      <c r="AH791" s="124"/>
      <c r="AI791" s="127"/>
      <c r="AJ791" s="127"/>
      <c r="AK791" s="126"/>
      <c r="AL791" s="122"/>
      <c r="AM791" s="122"/>
      <c r="AN791" s="122"/>
      <c r="AO791" s="122"/>
      <c r="AP791" s="122"/>
      <c r="AQ791" s="124"/>
    </row>
    <row r="792" spans="1:43" ht="15.75" customHeight="1">
      <c r="A792" s="122"/>
      <c r="B792" s="122"/>
      <c r="C792" s="122"/>
      <c r="D792" s="122"/>
      <c r="E792" s="122"/>
      <c r="F792" s="122"/>
      <c r="G792" s="122"/>
      <c r="H792" s="122"/>
      <c r="I792" s="122"/>
      <c r="J792" s="122"/>
      <c r="K792" s="122"/>
      <c r="L792" s="122"/>
      <c r="M792" s="123"/>
      <c r="N792" s="123"/>
      <c r="O792" s="122"/>
      <c r="P792" s="124"/>
      <c r="Q792" s="122"/>
      <c r="R792" s="122"/>
      <c r="S792" s="122"/>
      <c r="T792" s="122"/>
      <c r="U792" s="122"/>
      <c r="V792" s="124"/>
      <c r="W792" s="125"/>
      <c r="X792" s="122"/>
      <c r="Y792" s="122"/>
      <c r="Z792" s="122"/>
      <c r="AA792" s="126"/>
      <c r="AB792" s="122"/>
      <c r="AC792" s="122"/>
      <c r="AD792" s="127"/>
      <c r="AE792" s="127"/>
      <c r="AF792" s="127"/>
      <c r="AG792" s="127"/>
      <c r="AH792" s="124"/>
      <c r="AI792" s="127"/>
      <c r="AJ792" s="127"/>
      <c r="AK792" s="126"/>
      <c r="AL792" s="122"/>
      <c r="AM792" s="122"/>
      <c r="AN792" s="122"/>
      <c r="AO792" s="122"/>
      <c r="AP792" s="122"/>
      <c r="AQ792" s="124"/>
    </row>
    <row r="793" spans="1:43" ht="15.75" customHeight="1">
      <c r="A793" s="122"/>
      <c r="B793" s="122"/>
      <c r="C793" s="122"/>
      <c r="D793" s="122"/>
      <c r="E793" s="122"/>
      <c r="F793" s="122"/>
      <c r="G793" s="122"/>
      <c r="H793" s="122"/>
      <c r="I793" s="122"/>
      <c r="J793" s="122"/>
      <c r="K793" s="122"/>
      <c r="L793" s="122"/>
      <c r="M793" s="123"/>
      <c r="N793" s="123"/>
      <c r="O793" s="122"/>
      <c r="P793" s="124"/>
      <c r="Q793" s="122"/>
      <c r="R793" s="122"/>
      <c r="S793" s="122"/>
      <c r="T793" s="122"/>
      <c r="U793" s="122"/>
      <c r="V793" s="124"/>
      <c r="W793" s="125"/>
      <c r="X793" s="122"/>
      <c r="Y793" s="122"/>
      <c r="Z793" s="122"/>
      <c r="AA793" s="126"/>
      <c r="AB793" s="122"/>
      <c r="AC793" s="122"/>
      <c r="AD793" s="127"/>
      <c r="AE793" s="127"/>
      <c r="AF793" s="127"/>
      <c r="AG793" s="127"/>
      <c r="AH793" s="124"/>
      <c r="AI793" s="127"/>
      <c r="AJ793" s="127"/>
      <c r="AK793" s="126"/>
      <c r="AL793" s="122"/>
      <c r="AM793" s="122"/>
      <c r="AN793" s="122"/>
      <c r="AO793" s="122"/>
      <c r="AP793" s="122"/>
      <c r="AQ793" s="124"/>
    </row>
    <row r="794" spans="1:43" ht="15.75" customHeight="1">
      <c r="A794" s="122"/>
      <c r="B794" s="122"/>
      <c r="C794" s="122"/>
      <c r="D794" s="122"/>
      <c r="E794" s="122"/>
      <c r="F794" s="122"/>
      <c r="G794" s="122"/>
      <c r="H794" s="122"/>
      <c r="I794" s="122"/>
      <c r="J794" s="122"/>
      <c r="K794" s="122"/>
      <c r="L794" s="122"/>
      <c r="M794" s="123"/>
      <c r="N794" s="123"/>
      <c r="O794" s="122"/>
      <c r="P794" s="124"/>
      <c r="Q794" s="122"/>
      <c r="R794" s="122"/>
      <c r="S794" s="122"/>
      <c r="T794" s="122"/>
      <c r="U794" s="122"/>
      <c r="V794" s="124"/>
      <c r="W794" s="125"/>
      <c r="X794" s="122"/>
      <c r="Y794" s="122"/>
      <c r="Z794" s="122"/>
      <c r="AA794" s="126"/>
      <c r="AB794" s="122"/>
      <c r="AC794" s="122"/>
      <c r="AD794" s="127"/>
      <c r="AE794" s="127"/>
      <c r="AF794" s="127"/>
      <c r="AG794" s="127"/>
      <c r="AH794" s="124"/>
      <c r="AI794" s="127"/>
      <c r="AJ794" s="127"/>
      <c r="AK794" s="126"/>
      <c r="AL794" s="122"/>
      <c r="AM794" s="122"/>
      <c r="AN794" s="122"/>
      <c r="AO794" s="122"/>
      <c r="AP794" s="122"/>
      <c r="AQ794" s="124"/>
    </row>
    <row r="795" spans="1:43" ht="15.75" customHeight="1">
      <c r="A795" s="122"/>
      <c r="B795" s="122"/>
      <c r="C795" s="122"/>
      <c r="D795" s="122"/>
      <c r="E795" s="122"/>
      <c r="F795" s="122"/>
      <c r="G795" s="122"/>
      <c r="H795" s="122"/>
      <c r="I795" s="122"/>
      <c r="J795" s="122"/>
      <c r="K795" s="122"/>
      <c r="L795" s="122"/>
      <c r="M795" s="123"/>
      <c r="N795" s="123"/>
      <c r="O795" s="122"/>
      <c r="P795" s="124"/>
      <c r="Q795" s="122"/>
      <c r="R795" s="122"/>
      <c r="S795" s="122"/>
      <c r="T795" s="122"/>
      <c r="U795" s="122"/>
      <c r="V795" s="124"/>
      <c r="W795" s="125"/>
      <c r="X795" s="122"/>
      <c r="Y795" s="122"/>
      <c r="Z795" s="122"/>
      <c r="AA795" s="126"/>
      <c r="AB795" s="122"/>
      <c r="AC795" s="122"/>
      <c r="AD795" s="127"/>
      <c r="AE795" s="127"/>
      <c r="AF795" s="127"/>
      <c r="AG795" s="127"/>
      <c r="AH795" s="124"/>
      <c r="AI795" s="127"/>
      <c r="AJ795" s="127"/>
      <c r="AK795" s="126"/>
      <c r="AL795" s="122"/>
      <c r="AM795" s="122"/>
      <c r="AN795" s="122"/>
      <c r="AO795" s="122"/>
      <c r="AP795" s="122"/>
      <c r="AQ795" s="124"/>
    </row>
    <row r="796" spans="1:43" ht="15.75" customHeight="1">
      <c r="A796" s="122"/>
      <c r="B796" s="122"/>
      <c r="C796" s="122"/>
      <c r="D796" s="122"/>
      <c r="E796" s="122"/>
      <c r="F796" s="122"/>
      <c r="G796" s="122"/>
      <c r="H796" s="122"/>
      <c r="I796" s="122"/>
      <c r="J796" s="122"/>
      <c r="K796" s="122"/>
      <c r="L796" s="122"/>
      <c r="M796" s="123"/>
      <c r="N796" s="123"/>
      <c r="O796" s="122"/>
      <c r="P796" s="124"/>
      <c r="Q796" s="122"/>
      <c r="R796" s="122"/>
      <c r="S796" s="122"/>
      <c r="T796" s="122"/>
      <c r="U796" s="122"/>
      <c r="V796" s="124"/>
      <c r="W796" s="125"/>
      <c r="X796" s="122"/>
      <c r="Y796" s="122"/>
      <c r="Z796" s="122"/>
      <c r="AA796" s="126"/>
      <c r="AB796" s="122"/>
      <c r="AC796" s="122"/>
      <c r="AD796" s="127"/>
      <c r="AE796" s="127"/>
      <c r="AF796" s="127"/>
      <c r="AG796" s="127"/>
      <c r="AH796" s="124"/>
      <c r="AI796" s="127"/>
      <c r="AJ796" s="127"/>
      <c r="AK796" s="126"/>
      <c r="AL796" s="122"/>
      <c r="AM796" s="122"/>
      <c r="AN796" s="122"/>
      <c r="AO796" s="122"/>
      <c r="AP796" s="122"/>
      <c r="AQ796" s="124"/>
    </row>
    <row r="797" spans="1:43" ht="15.75" customHeight="1">
      <c r="A797" s="122"/>
      <c r="B797" s="122"/>
      <c r="C797" s="122"/>
      <c r="D797" s="122"/>
      <c r="E797" s="122"/>
      <c r="F797" s="122"/>
      <c r="G797" s="122"/>
      <c r="H797" s="122"/>
      <c r="I797" s="122"/>
      <c r="J797" s="122"/>
      <c r="K797" s="122"/>
      <c r="L797" s="122"/>
      <c r="M797" s="123"/>
      <c r="N797" s="123"/>
      <c r="O797" s="122"/>
      <c r="P797" s="124"/>
      <c r="Q797" s="122"/>
      <c r="R797" s="122"/>
      <c r="S797" s="122"/>
      <c r="T797" s="122"/>
      <c r="U797" s="122"/>
      <c r="V797" s="124"/>
      <c r="W797" s="125"/>
      <c r="X797" s="122"/>
      <c r="Y797" s="122"/>
      <c r="Z797" s="122"/>
      <c r="AA797" s="126"/>
      <c r="AB797" s="122"/>
      <c r="AC797" s="122"/>
      <c r="AD797" s="127"/>
      <c r="AE797" s="127"/>
      <c r="AF797" s="127"/>
      <c r="AG797" s="127"/>
      <c r="AH797" s="124"/>
      <c r="AI797" s="127"/>
      <c r="AJ797" s="127"/>
      <c r="AK797" s="126"/>
      <c r="AL797" s="122"/>
      <c r="AM797" s="122"/>
      <c r="AN797" s="122"/>
      <c r="AO797" s="122"/>
      <c r="AP797" s="122"/>
      <c r="AQ797" s="124"/>
    </row>
    <row r="798" spans="1:43" ht="15.75" customHeight="1">
      <c r="A798" s="122"/>
      <c r="B798" s="122"/>
      <c r="C798" s="122"/>
      <c r="D798" s="122"/>
      <c r="E798" s="122"/>
      <c r="F798" s="122"/>
      <c r="G798" s="122"/>
      <c r="H798" s="122"/>
      <c r="I798" s="122"/>
      <c r="J798" s="122"/>
      <c r="K798" s="122"/>
      <c r="L798" s="122"/>
      <c r="M798" s="123"/>
      <c r="N798" s="123"/>
      <c r="O798" s="122"/>
      <c r="P798" s="124"/>
      <c r="Q798" s="122"/>
      <c r="R798" s="122"/>
      <c r="S798" s="122"/>
      <c r="T798" s="122"/>
      <c r="U798" s="122"/>
      <c r="V798" s="124"/>
      <c r="W798" s="125"/>
      <c r="X798" s="122"/>
      <c r="Y798" s="122"/>
      <c r="Z798" s="122"/>
      <c r="AA798" s="126"/>
      <c r="AB798" s="122"/>
      <c r="AC798" s="122"/>
      <c r="AD798" s="127"/>
      <c r="AE798" s="127"/>
      <c r="AF798" s="127"/>
      <c r="AG798" s="127"/>
      <c r="AH798" s="124"/>
      <c r="AI798" s="127"/>
      <c r="AJ798" s="127"/>
      <c r="AK798" s="126"/>
      <c r="AL798" s="122"/>
      <c r="AM798" s="122"/>
      <c r="AN798" s="122"/>
      <c r="AO798" s="122"/>
      <c r="AP798" s="122"/>
      <c r="AQ798" s="124"/>
    </row>
    <row r="799" spans="1:43" ht="15.75" customHeight="1">
      <c r="A799" s="122"/>
      <c r="B799" s="122"/>
      <c r="C799" s="122"/>
      <c r="D799" s="122"/>
      <c r="E799" s="122"/>
      <c r="F799" s="122"/>
      <c r="G799" s="122"/>
      <c r="H799" s="122"/>
      <c r="I799" s="122"/>
      <c r="J799" s="122"/>
      <c r="K799" s="122"/>
      <c r="L799" s="122"/>
      <c r="M799" s="123"/>
      <c r="N799" s="123"/>
      <c r="O799" s="122"/>
      <c r="P799" s="124"/>
      <c r="Q799" s="122"/>
      <c r="R799" s="122"/>
      <c r="S799" s="122"/>
      <c r="T799" s="122"/>
      <c r="U799" s="122"/>
      <c r="V799" s="124"/>
      <c r="W799" s="125"/>
      <c r="X799" s="122"/>
      <c r="Y799" s="122"/>
      <c r="Z799" s="122"/>
      <c r="AA799" s="126"/>
      <c r="AB799" s="122"/>
      <c r="AC799" s="122"/>
      <c r="AD799" s="127"/>
      <c r="AE799" s="127"/>
      <c r="AF799" s="127"/>
      <c r="AG799" s="127"/>
      <c r="AH799" s="124"/>
      <c r="AI799" s="127"/>
      <c r="AJ799" s="127"/>
      <c r="AK799" s="126"/>
      <c r="AL799" s="122"/>
      <c r="AM799" s="122"/>
      <c r="AN799" s="122"/>
      <c r="AO799" s="122"/>
      <c r="AP799" s="122"/>
      <c r="AQ799" s="124"/>
    </row>
    <row r="800" spans="1:43" ht="15.75" customHeight="1">
      <c r="A800" s="122"/>
      <c r="B800" s="122"/>
      <c r="C800" s="122"/>
      <c r="D800" s="122"/>
      <c r="E800" s="122"/>
      <c r="F800" s="122"/>
      <c r="G800" s="122"/>
      <c r="H800" s="122"/>
      <c r="I800" s="122"/>
      <c r="J800" s="122"/>
      <c r="K800" s="122"/>
      <c r="L800" s="122"/>
      <c r="M800" s="123"/>
      <c r="N800" s="123"/>
      <c r="O800" s="122"/>
      <c r="P800" s="124"/>
      <c r="Q800" s="122"/>
      <c r="R800" s="122"/>
      <c r="S800" s="122"/>
      <c r="T800" s="122"/>
      <c r="U800" s="122"/>
      <c r="V800" s="124"/>
      <c r="W800" s="125"/>
      <c r="X800" s="122"/>
      <c r="Y800" s="122"/>
      <c r="Z800" s="122"/>
      <c r="AA800" s="126"/>
      <c r="AB800" s="122"/>
      <c r="AC800" s="122"/>
      <c r="AD800" s="127"/>
      <c r="AE800" s="127"/>
      <c r="AF800" s="127"/>
      <c r="AG800" s="127"/>
      <c r="AH800" s="124"/>
      <c r="AI800" s="127"/>
      <c r="AJ800" s="127"/>
      <c r="AK800" s="126"/>
      <c r="AL800" s="122"/>
      <c r="AM800" s="122"/>
      <c r="AN800" s="122"/>
      <c r="AO800" s="122"/>
      <c r="AP800" s="122"/>
      <c r="AQ800" s="124"/>
    </row>
    <row r="801" spans="1:43" ht="15.75" customHeight="1">
      <c r="A801" s="122"/>
      <c r="B801" s="122"/>
      <c r="C801" s="122"/>
      <c r="D801" s="122"/>
      <c r="E801" s="122"/>
      <c r="F801" s="122"/>
      <c r="G801" s="122"/>
      <c r="H801" s="122"/>
      <c r="I801" s="122"/>
      <c r="J801" s="122"/>
      <c r="K801" s="122"/>
      <c r="L801" s="122"/>
      <c r="M801" s="123"/>
      <c r="N801" s="123"/>
      <c r="O801" s="122"/>
      <c r="P801" s="124"/>
      <c r="Q801" s="122"/>
      <c r="R801" s="122"/>
      <c r="S801" s="122"/>
      <c r="T801" s="122"/>
      <c r="U801" s="122"/>
      <c r="V801" s="124"/>
      <c r="W801" s="125"/>
      <c r="X801" s="122"/>
      <c r="Y801" s="122"/>
      <c r="Z801" s="122"/>
      <c r="AA801" s="126"/>
      <c r="AB801" s="122"/>
      <c r="AC801" s="122"/>
      <c r="AD801" s="127"/>
      <c r="AE801" s="127"/>
      <c r="AF801" s="127"/>
      <c r="AG801" s="127"/>
      <c r="AH801" s="124"/>
      <c r="AI801" s="127"/>
      <c r="AJ801" s="127"/>
      <c r="AK801" s="126"/>
      <c r="AL801" s="122"/>
      <c r="AM801" s="122"/>
      <c r="AN801" s="122"/>
      <c r="AO801" s="122"/>
      <c r="AP801" s="122"/>
      <c r="AQ801" s="124"/>
    </row>
    <row r="802" spans="1:43" ht="15.75" customHeight="1">
      <c r="A802" s="122"/>
      <c r="B802" s="122"/>
      <c r="C802" s="122"/>
      <c r="D802" s="122"/>
      <c r="E802" s="122"/>
      <c r="F802" s="122"/>
      <c r="G802" s="122"/>
      <c r="H802" s="122"/>
      <c r="I802" s="122"/>
      <c r="J802" s="122"/>
      <c r="K802" s="122"/>
      <c r="L802" s="122"/>
      <c r="M802" s="123"/>
      <c r="N802" s="123"/>
      <c r="O802" s="122"/>
      <c r="P802" s="124"/>
      <c r="Q802" s="122"/>
      <c r="R802" s="122"/>
      <c r="S802" s="122"/>
      <c r="T802" s="122"/>
      <c r="U802" s="122"/>
      <c r="V802" s="124"/>
      <c r="W802" s="125"/>
      <c r="X802" s="122"/>
      <c r="Y802" s="122"/>
      <c r="Z802" s="122"/>
      <c r="AA802" s="126"/>
      <c r="AB802" s="122"/>
      <c r="AC802" s="122"/>
      <c r="AD802" s="127"/>
      <c r="AE802" s="127"/>
      <c r="AF802" s="127"/>
      <c r="AG802" s="127"/>
      <c r="AH802" s="124"/>
      <c r="AI802" s="127"/>
      <c r="AJ802" s="127"/>
      <c r="AK802" s="126"/>
      <c r="AL802" s="122"/>
      <c r="AM802" s="122"/>
      <c r="AN802" s="122"/>
      <c r="AO802" s="122"/>
      <c r="AP802" s="122"/>
      <c r="AQ802" s="124"/>
    </row>
    <row r="803" spans="1:43" ht="15.75" customHeight="1">
      <c r="A803" s="122"/>
      <c r="B803" s="122"/>
      <c r="C803" s="122"/>
      <c r="D803" s="122"/>
      <c r="E803" s="122"/>
      <c r="F803" s="122"/>
      <c r="G803" s="122"/>
      <c r="H803" s="122"/>
      <c r="I803" s="122"/>
      <c r="J803" s="122"/>
      <c r="K803" s="122"/>
      <c r="L803" s="122"/>
      <c r="M803" s="123"/>
      <c r="N803" s="123"/>
      <c r="O803" s="122"/>
      <c r="P803" s="124"/>
      <c r="Q803" s="122"/>
      <c r="R803" s="122"/>
      <c r="S803" s="122"/>
      <c r="T803" s="122"/>
      <c r="U803" s="122"/>
      <c r="V803" s="124"/>
      <c r="W803" s="125"/>
      <c r="X803" s="122"/>
      <c r="Y803" s="122"/>
      <c r="Z803" s="122"/>
      <c r="AA803" s="126"/>
      <c r="AB803" s="122"/>
      <c r="AC803" s="122"/>
      <c r="AD803" s="127"/>
      <c r="AE803" s="127"/>
      <c r="AF803" s="127"/>
      <c r="AG803" s="127"/>
      <c r="AH803" s="124"/>
      <c r="AI803" s="127"/>
      <c r="AJ803" s="127"/>
      <c r="AK803" s="126"/>
      <c r="AL803" s="122"/>
      <c r="AM803" s="122"/>
      <c r="AN803" s="122"/>
      <c r="AO803" s="122"/>
      <c r="AP803" s="122"/>
      <c r="AQ803" s="124"/>
    </row>
    <row r="804" spans="1:43" ht="15.75" customHeight="1">
      <c r="A804" s="122"/>
      <c r="B804" s="122"/>
      <c r="C804" s="122"/>
      <c r="D804" s="122"/>
      <c r="E804" s="122"/>
      <c r="F804" s="122"/>
      <c r="G804" s="122"/>
      <c r="H804" s="122"/>
      <c r="I804" s="122"/>
      <c r="J804" s="122"/>
      <c r="K804" s="122"/>
      <c r="L804" s="122"/>
      <c r="M804" s="123"/>
      <c r="N804" s="123"/>
      <c r="O804" s="122"/>
      <c r="P804" s="124"/>
      <c r="Q804" s="122"/>
      <c r="R804" s="122"/>
      <c r="S804" s="122"/>
      <c r="T804" s="122"/>
      <c r="U804" s="122"/>
      <c r="V804" s="124"/>
      <c r="W804" s="125"/>
      <c r="X804" s="122"/>
      <c r="Y804" s="122"/>
      <c r="Z804" s="122"/>
      <c r="AA804" s="126"/>
      <c r="AB804" s="122"/>
      <c r="AC804" s="122"/>
      <c r="AD804" s="127"/>
      <c r="AE804" s="127"/>
      <c r="AF804" s="127"/>
      <c r="AG804" s="127"/>
      <c r="AH804" s="124"/>
      <c r="AI804" s="127"/>
      <c r="AJ804" s="127"/>
      <c r="AK804" s="126"/>
      <c r="AL804" s="122"/>
      <c r="AM804" s="122"/>
      <c r="AN804" s="122"/>
      <c r="AO804" s="122"/>
      <c r="AP804" s="122"/>
      <c r="AQ804" s="124"/>
    </row>
    <row r="805" spans="1:43" ht="15.75" customHeight="1">
      <c r="A805" s="122"/>
      <c r="B805" s="122"/>
      <c r="C805" s="122"/>
      <c r="D805" s="122"/>
      <c r="E805" s="122"/>
      <c r="F805" s="122"/>
      <c r="G805" s="122"/>
      <c r="H805" s="122"/>
      <c r="I805" s="122"/>
      <c r="J805" s="122"/>
      <c r="K805" s="122"/>
      <c r="L805" s="122"/>
      <c r="M805" s="123"/>
      <c r="N805" s="123"/>
      <c r="O805" s="122"/>
      <c r="P805" s="124"/>
      <c r="Q805" s="122"/>
      <c r="R805" s="122"/>
      <c r="S805" s="122"/>
      <c r="T805" s="122"/>
      <c r="U805" s="122"/>
      <c r="V805" s="124"/>
      <c r="W805" s="125"/>
      <c r="X805" s="122"/>
      <c r="Y805" s="122"/>
      <c r="Z805" s="122"/>
      <c r="AA805" s="126"/>
      <c r="AB805" s="122"/>
      <c r="AC805" s="122"/>
      <c r="AD805" s="127"/>
      <c r="AE805" s="127"/>
      <c r="AF805" s="127"/>
      <c r="AG805" s="127"/>
      <c r="AH805" s="124"/>
      <c r="AI805" s="127"/>
      <c r="AJ805" s="127"/>
      <c r="AK805" s="126"/>
      <c r="AL805" s="122"/>
      <c r="AM805" s="122"/>
      <c r="AN805" s="122"/>
      <c r="AO805" s="122"/>
      <c r="AP805" s="122"/>
      <c r="AQ805" s="124"/>
    </row>
    <row r="806" spans="1:43" ht="15.75" customHeight="1">
      <c r="A806" s="122"/>
      <c r="B806" s="122"/>
      <c r="C806" s="122"/>
      <c r="D806" s="122"/>
      <c r="E806" s="122"/>
      <c r="F806" s="122"/>
      <c r="G806" s="122"/>
      <c r="H806" s="122"/>
      <c r="I806" s="122"/>
      <c r="J806" s="122"/>
      <c r="K806" s="122"/>
      <c r="L806" s="122"/>
      <c r="M806" s="123"/>
      <c r="N806" s="123"/>
      <c r="O806" s="122"/>
      <c r="P806" s="124"/>
      <c r="Q806" s="122"/>
      <c r="R806" s="122"/>
      <c r="S806" s="122"/>
      <c r="T806" s="122"/>
      <c r="U806" s="122"/>
      <c r="V806" s="124"/>
      <c r="W806" s="125"/>
      <c r="X806" s="122"/>
      <c r="Y806" s="122"/>
      <c r="Z806" s="122"/>
      <c r="AA806" s="126"/>
      <c r="AB806" s="122"/>
      <c r="AC806" s="122"/>
      <c r="AD806" s="127"/>
      <c r="AE806" s="127"/>
      <c r="AF806" s="127"/>
      <c r="AG806" s="127"/>
      <c r="AH806" s="124"/>
      <c r="AI806" s="127"/>
      <c r="AJ806" s="127"/>
      <c r="AK806" s="126"/>
      <c r="AL806" s="122"/>
      <c r="AM806" s="122"/>
      <c r="AN806" s="122"/>
      <c r="AO806" s="122"/>
      <c r="AP806" s="122"/>
      <c r="AQ806" s="124"/>
    </row>
    <row r="807" spans="1:43" ht="15.75" customHeight="1">
      <c r="A807" s="122"/>
      <c r="B807" s="122"/>
      <c r="C807" s="122"/>
      <c r="D807" s="122"/>
      <c r="E807" s="122"/>
      <c r="F807" s="122"/>
      <c r="G807" s="122"/>
      <c r="H807" s="122"/>
      <c r="I807" s="122"/>
      <c r="J807" s="122"/>
      <c r="K807" s="122"/>
      <c r="L807" s="122"/>
      <c r="M807" s="123"/>
      <c r="N807" s="123"/>
      <c r="O807" s="122"/>
      <c r="P807" s="124"/>
      <c r="Q807" s="122"/>
      <c r="R807" s="122"/>
      <c r="S807" s="122"/>
      <c r="T807" s="122"/>
      <c r="U807" s="122"/>
      <c r="V807" s="124"/>
      <c r="W807" s="125"/>
      <c r="X807" s="122"/>
      <c r="Y807" s="122"/>
      <c r="Z807" s="122"/>
      <c r="AA807" s="126"/>
      <c r="AB807" s="122"/>
      <c r="AC807" s="122"/>
      <c r="AD807" s="127"/>
      <c r="AE807" s="127"/>
      <c r="AF807" s="127"/>
      <c r="AG807" s="127"/>
      <c r="AH807" s="124"/>
      <c r="AI807" s="127"/>
      <c r="AJ807" s="127"/>
      <c r="AK807" s="126"/>
      <c r="AL807" s="122"/>
      <c r="AM807" s="122"/>
      <c r="AN807" s="122"/>
      <c r="AO807" s="122"/>
      <c r="AP807" s="122"/>
      <c r="AQ807" s="124"/>
    </row>
    <row r="808" spans="1:43" ht="15.75" customHeight="1">
      <c r="A808" s="122"/>
      <c r="B808" s="122"/>
      <c r="C808" s="122"/>
      <c r="D808" s="122"/>
      <c r="E808" s="122"/>
      <c r="F808" s="122"/>
      <c r="G808" s="122"/>
      <c r="H808" s="122"/>
      <c r="I808" s="122"/>
      <c r="J808" s="122"/>
      <c r="K808" s="122"/>
      <c r="L808" s="122"/>
      <c r="M808" s="123"/>
      <c r="N808" s="123"/>
      <c r="O808" s="122"/>
      <c r="P808" s="124"/>
      <c r="Q808" s="122"/>
      <c r="R808" s="122"/>
      <c r="S808" s="122"/>
      <c r="T808" s="122"/>
      <c r="U808" s="122"/>
      <c r="V808" s="124"/>
      <c r="W808" s="125"/>
      <c r="X808" s="122"/>
      <c r="Y808" s="122"/>
      <c r="Z808" s="122"/>
      <c r="AA808" s="126"/>
      <c r="AB808" s="122"/>
      <c r="AC808" s="122"/>
      <c r="AD808" s="127"/>
      <c r="AE808" s="127"/>
      <c r="AF808" s="127"/>
      <c r="AG808" s="127"/>
      <c r="AH808" s="124"/>
      <c r="AI808" s="127"/>
      <c r="AJ808" s="127"/>
      <c r="AK808" s="126"/>
      <c r="AL808" s="122"/>
      <c r="AM808" s="122"/>
      <c r="AN808" s="122"/>
      <c r="AO808" s="122"/>
      <c r="AP808" s="122"/>
      <c r="AQ808" s="124"/>
    </row>
    <row r="809" spans="1:43" ht="15.75" customHeight="1">
      <c r="A809" s="122"/>
      <c r="B809" s="122"/>
      <c r="C809" s="122"/>
      <c r="D809" s="122"/>
      <c r="E809" s="122"/>
      <c r="F809" s="122"/>
      <c r="G809" s="122"/>
      <c r="H809" s="122"/>
      <c r="I809" s="122"/>
      <c r="J809" s="122"/>
      <c r="K809" s="122"/>
      <c r="L809" s="122"/>
      <c r="M809" s="123"/>
      <c r="N809" s="123"/>
      <c r="O809" s="122"/>
      <c r="P809" s="124"/>
      <c r="Q809" s="122"/>
      <c r="R809" s="122"/>
      <c r="S809" s="122"/>
      <c r="T809" s="122"/>
      <c r="U809" s="122"/>
      <c r="V809" s="124"/>
      <c r="W809" s="125"/>
      <c r="X809" s="122"/>
      <c r="Y809" s="122"/>
      <c r="Z809" s="122"/>
      <c r="AA809" s="126"/>
      <c r="AB809" s="122"/>
      <c r="AC809" s="122"/>
      <c r="AD809" s="127"/>
      <c r="AE809" s="127"/>
      <c r="AF809" s="127"/>
      <c r="AG809" s="127"/>
      <c r="AH809" s="124"/>
      <c r="AI809" s="127"/>
      <c r="AJ809" s="127"/>
      <c r="AK809" s="126"/>
      <c r="AL809" s="122"/>
      <c r="AM809" s="122"/>
      <c r="AN809" s="122"/>
      <c r="AO809" s="122"/>
      <c r="AP809" s="122"/>
      <c r="AQ809" s="124"/>
    </row>
    <row r="810" spans="1:43" ht="15.75" customHeight="1">
      <c r="A810" s="122"/>
      <c r="B810" s="122"/>
      <c r="C810" s="122"/>
      <c r="D810" s="122"/>
      <c r="E810" s="122"/>
      <c r="F810" s="122"/>
      <c r="G810" s="122"/>
      <c r="H810" s="122"/>
      <c r="I810" s="122"/>
      <c r="J810" s="122"/>
      <c r="K810" s="122"/>
      <c r="L810" s="122"/>
      <c r="M810" s="123"/>
      <c r="N810" s="123"/>
      <c r="O810" s="122"/>
      <c r="P810" s="124"/>
      <c r="Q810" s="122"/>
      <c r="R810" s="122"/>
      <c r="S810" s="122"/>
      <c r="T810" s="122"/>
      <c r="U810" s="122"/>
      <c r="V810" s="124"/>
      <c r="W810" s="125"/>
      <c r="X810" s="122"/>
      <c r="Y810" s="122"/>
      <c r="Z810" s="122"/>
      <c r="AA810" s="126"/>
      <c r="AB810" s="122"/>
      <c r="AC810" s="122"/>
      <c r="AD810" s="127"/>
      <c r="AE810" s="127"/>
      <c r="AF810" s="127"/>
      <c r="AG810" s="127"/>
      <c r="AH810" s="124"/>
      <c r="AI810" s="127"/>
      <c r="AJ810" s="127"/>
      <c r="AK810" s="126"/>
      <c r="AL810" s="122"/>
      <c r="AM810" s="122"/>
      <c r="AN810" s="122"/>
      <c r="AO810" s="122"/>
      <c r="AP810" s="122"/>
      <c r="AQ810" s="124"/>
    </row>
    <row r="811" spans="1:43" ht="15.75" customHeight="1">
      <c r="A811" s="122"/>
      <c r="B811" s="122"/>
      <c r="C811" s="122"/>
      <c r="D811" s="122"/>
      <c r="E811" s="122"/>
      <c r="F811" s="122"/>
      <c r="G811" s="122"/>
      <c r="H811" s="122"/>
      <c r="I811" s="122"/>
      <c r="J811" s="122"/>
      <c r="K811" s="122"/>
      <c r="L811" s="122"/>
      <c r="M811" s="123"/>
      <c r="N811" s="123"/>
      <c r="O811" s="122"/>
      <c r="P811" s="124"/>
      <c r="Q811" s="122"/>
      <c r="R811" s="122"/>
      <c r="S811" s="122"/>
      <c r="T811" s="122"/>
      <c r="U811" s="122"/>
      <c r="V811" s="124"/>
      <c r="W811" s="125"/>
      <c r="X811" s="122"/>
      <c r="Y811" s="122"/>
      <c r="Z811" s="122"/>
      <c r="AA811" s="126"/>
      <c r="AB811" s="122"/>
      <c r="AC811" s="122"/>
      <c r="AD811" s="127"/>
      <c r="AE811" s="127"/>
      <c r="AF811" s="127"/>
      <c r="AG811" s="127"/>
      <c r="AH811" s="124"/>
      <c r="AI811" s="127"/>
      <c r="AJ811" s="127"/>
      <c r="AK811" s="126"/>
      <c r="AL811" s="122"/>
      <c r="AM811" s="122"/>
      <c r="AN811" s="122"/>
      <c r="AO811" s="122"/>
      <c r="AP811" s="122"/>
      <c r="AQ811" s="124"/>
    </row>
    <row r="812" spans="1:43" ht="15.75" customHeight="1">
      <c r="A812" s="122"/>
      <c r="B812" s="122"/>
      <c r="C812" s="122"/>
      <c r="D812" s="122"/>
      <c r="E812" s="122"/>
      <c r="F812" s="122"/>
      <c r="G812" s="122"/>
      <c r="H812" s="122"/>
      <c r="I812" s="122"/>
      <c r="J812" s="122"/>
      <c r="K812" s="122"/>
      <c r="L812" s="122"/>
      <c r="M812" s="123"/>
      <c r="N812" s="123"/>
      <c r="O812" s="122"/>
      <c r="P812" s="124"/>
      <c r="Q812" s="122"/>
      <c r="R812" s="122"/>
      <c r="S812" s="122"/>
      <c r="T812" s="122"/>
      <c r="U812" s="122"/>
      <c r="V812" s="124"/>
      <c r="W812" s="125"/>
      <c r="X812" s="122"/>
      <c r="Y812" s="122"/>
      <c r="Z812" s="122"/>
      <c r="AA812" s="126"/>
      <c r="AB812" s="122"/>
      <c r="AC812" s="122"/>
      <c r="AD812" s="127"/>
      <c r="AE812" s="127"/>
      <c r="AF812" s="127"/>
      <c r="AG812" s="127"/>
      <c r="AH812" s="124"/>
      <c r="AI812" s="127"/>
      <c r="AJ812" s="127"/>
      <c r="AK812" s="126"/>
      <c r="AL812" s="122"/>
      <c r="AM812" s="122"/>
      <c r="AN812" s="122"/>
      <c r="AO812" s="122"/>
      <c r="AP812" s="122"/>
      <c r="AQ812" s="124"/>
    </row>
    <row r="813" spans="1:43" ht="15.75" customHeight="1">
      <c r="A813" s="122"/>
      <c r="B813" s="122"/>
      <c r="C813" s="122"/>
      <c r="D813" s="122"/>
      <c r="E813" s="122"/>
      <c r="F813" s="122"/>
      <c r="G813" s="122"/>
      <c r="H813" s="122"/>
      <c r="I813" s="122"/>
      <c r="J813" s="122"/>
      <c r="K813" s="122"/>
      <c r="L813" s="122"/>
      <c r="M813" s="123"/>
      <c r="N813" s="123"/>
      <c r="O813" s="122"/>
      <c r="P813" s="124"/>
      <c r="Q813" s="122"/>
      <c r="R813" s="122"/>
      <c r="S813" s="122"/>
      <c r="T813" s="122"/>
      <c r="U813" s="122"/>
      <c r="V813" s="124"/>
      <c r="W813" s="125"/>
      <c r="X813" s="122"/>
      <c r="Y813" s="122"/>
      <c r="Z813" s="122"/>
      <c r="AA813" s="126"/>
      <c r="AB813" s="122"/>
      <c r="AC813" s="122"/>
      <c r="AD813" s="127"/>
      <c r="AE813" s="127"/>
      <c r="AF813" s="127"/>
      <c r="AG813" s="127"/>
      <c r="AH813" s="124"/>
      <c r="AI813" s="127"/>
      <c r="AJ813" s="127"/>
      <c r="AK813" s="126"/>
      <c r="AL813" s="122"/>
      <c r="AM813" s="122"/>
      <c r="AN813" s="122"/>
      <c r="AO813" s="122"/>
      <c r="AP813" s="122"/>
      <c r="AQ813" s="124"/>
    </row>
    <row r="814" spans="1:43" ht="15.75" customHeight="1">
      <c r="A814" s="122"/>
      <c r="B814" s="122"/>
      <c r="C814" s="122"/>
      <c r="D814" s="122"/>
      <c r="E814" s="122"/>
      <c r="F814" s="122"/>
      <c r="G814" s="122"/>
      <c r="H814" s="122"/>
      <c r="I814" s="122"/>
      <c r="J814" s="122"/>
      <c r="K814" s="122"/>
      <c r="L814" s="122"/>
      <c r="M814" s="123"/>
      <c r="N814" s="123"/>
      <c r="O814" s="122"/>
      <c r="P814" s="124"/>
      <c r="Q814" s="122"/>
      <c r="R814" s="122"/>
      <c r="S814" s="122"/>
      <c r="T814" s="122"/>
      <c r="U814" s="122"/>
      <c r="V814" s="124"/>
      <c r="W814" s="125"/>
      <c r="X814" s="122"/>
      <c r="Y814" s="122"/>
      <c r="Z814" s="122"/>
      <c r="AA814" s="126"/>
      <c r="AB814" s="122"/>
      <c r="AC814" s="122"/>
      <c r="AD814" s="127"/>
      <c r="AE814" s="127"/>
      <c r="AF814" s="127"/>
      <c r="AG814" s="127"/>
      <c r="AH814" s="124"/>
      <c r="AI814" s="127"/>
      <c r="AJ814" s="127"/>
      <c r="AK814" s="126"/>
      <c r="AL814" s="122"/>
      <c r="AM814" s="122"/>
      <c r="AN814" s="122"/>
      <c r="AO814" s="122"/>
      <c r="AP814" s="122"/>
      <c r="AQ814" s="124"/>
    </row>
    <row r="815" spans="1:43" ht="15.75" customHeight="1">
      <c r="A815" s="122"/>
      <c r="B815" s="122"/>
      <c r="C815" s="122"/>
      <c r="D815" s="122"/>
      <c r="E815" s="122"/>
      <c r="F815" s="122"/>
      <c r="G815" s="122"/>
      <c r="H815" s="122"/>
      <c r="I815" s="122"/>
      <c r="J815" s="122"/>
      <c r="K815" s="122"/>
      <c r="L815" s="122"/>
      <c r="M815" s="123"/>
      <c r="N815" s="123"/>
      <c r="O815" s="122"/>
      <c r="P815" s="124"/>
      <c r="Q815" s="122"/>
      <c r="R815" s="122"/>
      <c r="S815" s="122"/>
      <c r="T815" s="122"/>
      <c r="U815" s="122"/>
      <c r="V815" s="124"/>
      <c r="W815" s="125"/>
      <c r="X815" s="122"/>
      <c r="Y815" s="122"/>
      <c r="Z815" s="122"/>
      <c r="AA815" s="126"/>
      <c r="AB815" s="122"/>
      <c r="AC815" s="122"/>
      <c r="AD815" s="127"/>
      <c r="AE815" s="127"/>
      <c r="AF815" s="127"/>
      <c r="AG815" s="127"/>
      <c r="AH815" s="124"/>
      <c r="AI815" s="127"/>
      <c r="AJ815" s="127"/>
      <c r="AK815" s="126"/>
      <c r="AL815" s="122"/>
      <c r="AM815" s="122"/>
      <c r="AN815" s="122"/>
      <c r="AO815" s="122"/>
      <c r="AP815" s="122"/>
      <c r="AQ815" s="124"/>
    </row>
    <row r="816" spans="1:43" ht="15.75" customHeight="1">
      <c r="A816" s="122"/>
      <c r="B816" s="122"/>
      <c r="C816" s="122"/>
      <c r="D816" s="122"/>
      <c r="E816" s="122"/>
      <c r="F816" s="122"/>
      <c r="G816" s="122"/>
      <c r="H816" s="122"/>
      <c r="I816" s="122"/>
      <c r="J816" s="122"/>
      <c r="K816" s="122"/>
      <c r="L816" s="122"/>
      <c r="M816" s="123"/>
      <c r="N816" s="123"/>
      <c r="O816" s="122"/>
      <c r="P816" s="124"/>
      <c r="Q816" s="122"/>
      <c r="R816" s="122"/>
      <c r="S816" s="122"/>
      <c r="T816" s="122"/>
      <c r="U816" s="122"/>
      <c r="V816" s="124"/>
      <c r="W816" s="125"/>
      <c r="X816" s="122"/>
      <c r="Y816" s="122"/>
      <c r="Z816" s="122"/>
      <c r="AA816" s="126"/>
      <c r="AB816" s="122"/>
      <c r="AC816" s="122"/>
      <c r="AD816" s="127"/>
      <c r="AE816" s="127"/>
      <c r="AF816" s="127"/>
      <c r="AG816" s="127"/>
      <c r="AH816" s="124"/>
      <c r="AI816" s="127"/>
      <c r="AJ816" s="127"/>
      <c r="AK816" s="126"/>
      <c r="AL816" s="122"/>
      <c r="AM816" s="122"/>
      <c r="AN816" s="122"/>
      <c r="AO816" s="122"/>
      <c r="AP816" s="122"/>
      <c r="AQ816" s="124"/>
    </row>
    <row r="817" spans="1:43" ht="15.75" customHeight="1">
      <c r="A817" s="122"/>
      <c r="B817" s="122"/>
      <c r="C817" s="122"/>
      <c r="D817" s="122"/>
      <c r="E817" s="122"/>
      <c r="F817" s="122"/>
      <c r="G817" s="122"/>
      <c r="H817" s="122"/>
      <c r="I817" s="122"/>
      <c r="J817" s="122"/>
      <c r="K817" s="122"/>
      <c r="L817" s="122"/>
      <c r="M817" s="123"/>
      <c r="N817" s="123"/>
      <c r="O817" s="122"/>
      <c r="P817" s="124"/>
      <c r="Q817" s="122"/>
      <c r="R817" s="122"/>
      <c r="S817" s="122"/>
      <c r="T817" s="122"/>
      <c r="U817" s="122"/>
      <c r="V817" s="124"/>
      <c r="W817" s="125"/>
      <c r="X817" s="122"/>
      <c r="Y817" s="122"/>
      <c r="Z817" s="122"/>
      <c r="AA817" s="126"/>
      <c r="AB817" s="122"/>
      <c r="AC817" s="122"/>
      <c r="AD817" s="127"/>
      <c r="AE817" s="127"/>
      <c r="AF817" s="127"/>
      <c r="AG817" s="127"/>
      <c r="AH817" s="124"/>
      <c r="AI817" s="127"/>
      <c r="AJ817" s="127"/>
      <c r="AK817" s="126"/>
      <c r="AL817" s="122"/>
      <c r="AM817" s="122"/>
      <c r="AN817" s="122"/>
      <c r="AO817" s="122"/>
      <c r="AP817" s="122"/>
      <c r="AQ817" s="124"/>
    </row>
    <row r="818" spans="1:43" ht="15.75" customHeight="1">
      <c r="A818" s="122"/>
      <c r="B818" s="122"/>
      <c r="C818" s="122"/>
      <c r="D818" s="122"/>
      <c r="E818" s="122"/>
      <c r="F818" s="122"/>
      <c r="G818" s="122"/>
      <c r="H818" s="122"/>
      <c r="I818" s="122"/>
      <c r="J818" s="122"/>
      <c r="K818" s="122"/>
      <c r="L818" s="122"/>
      <c r="M818" s="123"/>
      <c r="N818" s="123"/>
      <c r="O818" s="122"/>
      <c r="P818" s="124"/>
      <c r="Q818" s="122"/>
      <c r="R818" s="122"/>
      <c r="S818" s="122"/>
      <c r="T818" s="122"/>
      <c r="U818" s="122"/>
      <c r="V818" s="124"/>
      <c r="W818" s="125"/>
      <c r="X818" s="122"/>
      <c r="Y818" s="122"/>
      <c r="Z818" s="122"/>
      <c r="AA818" s="126"/>
      <c r="AB818" s="122"/>
      <c r="AC818" s="122"/>
      <c r="AD818" s="127"/>
      <c r="AE818" s="127"/>
      <c r="AF818" s="127"/>
      <c r="AG818" s="127"/>
      <c r="AH818" s="124"/>
      <c r="AI818" s="127"/>
      <c r="AJ818" s="127"/>
      <c r="AK818" s="126"/>
      <c r="AL818" s="122"/>
      <c r="AM818" s="122"/>
      <c r="AN818" s="122"/>
      <c r="AO818" s="122"/>
      <c r="AP818" s="122"/>
      <c r="AQ818" s="124"/>
    </row>
    <row r="819" spans="1:43" ht="15.75" customHeight="1">
      <c r="A819" s="122"/>
      <c r="B819" s="122"/>
      <c r="C819" s="122"/>
      <c r="D819" s="122"/>
      <c r="E819" s="122"/>
      <c r="F819" s="122"/>
      <c r="G819" s="122"/>
      <c r="H819" s="122"/>
      <c r="I819" s="122"/>
      <c r="J819" s="122"/>
      <c r="K819" s="122"/>
      <c r="L819" s="122"/>
      <c r="M819" s="123"/>
      <c r="N819" s="123"/>
      <c r="O819" s="122"/>
      <c r="P819" s="124"/>
      <c r="Q819" s="122"/>
      <c r="R819" s="122"/>
      <c r="S819" s="122"/>
      <c r="T819" s="122"/>
      <c r="U819" s="122"/>
      <c r="V819" s="124"/>
      <c r="W819" s="125"/>
      <c r="X819" s="122"/>
      <c r="Y819" s="122"/>
      <c r="Z819" s="122"/>
      <c r="AA819" s="126"/>
      <c r="AB819" s="122"/>
      <c r="AC819" s="122"/>
      <c r="AD819" s="127"/>
      <c r="AE819" s="127"/>
      <c r="AF819" s="127"/>
      <c r="AG819" s="127"/>
      <c r="AH819" s="124"/>
      <c r="AI819" s="127"/>
      <c r="AJ819" s="127"/>
      <c r="AK819" s="126"/>
      <c r="AL819" s="122"/>
      <c r="AM819" s="122"/>
      <c r="AN819" s="122"/>
      <c r="AO819" s="122"/>
      <c r="AP819" s="122"/>
      <c r="AQ819" s="124"/>
    </row>
    <row r="820" spans="1:43" ht="15.75" customHeight="1">
      <c r="A820" s="122"/>
      <c r="B820" s="122"/>
      <c r="C820" s="122"/>
      <c r="D820" s="122"/>
      <c r="E820" s="122"/>
      <c r="F820" s="122"/>
      <c r="G820" s="122"/>
      <c r="H820" s="122"/>
      <c r="I820" s="122"/>
      <c r="J820" s="122"/>
      <c r="K820" s="122"/>
      <c r="L820" s="122"/>
      <c r="M820" s="123"/>
      <c r="N820" s="123"/>
      <c r="O820" s="122"/>
      <c r="P820" s="124"/>
      <c r="Q820" s="122"/>
      <c r="R820" s="122"/>
      <c r="S820" s="122"/>
      <c r="T820" s="122"/>
      <c r="U820" s="122"/>
      <c r="V820" s="124"/>
      <c r="W820" s="125"/>
      <c r="X820" s="122"/>
      <c r="Y820" s="122"/>
      <c r="Z820" s="122"/>
      <c r="AA820" s="126"/>
      <c r="AB820" s="122"/>
      <c r="AC820" s="122"/>
      <c r="AD820" s="127"/>
      <c r="AE820" s="127"/>
      <c r="AF820" s="127"/>
      <c r="AG820" s="127"/>
      <c r="AH820" s="124"/>
      <c r="AI820" s="127"/>
      <c r="AJ820" s="127"/>
      <c r="AK820" s="126"/>
      <c r="AL820" s="122"/>
      <c r="AM820" s="122"/>
      <c r="AN820" s="122"/>
      <c r="AO820" s="122"/>
      <c r="AP820" s="122"/>
      <c r="AQ820" s="124"/>
    </row>
    <row r="821" spans="1:43" ht="15.75" customHeight="1">
      <c r="A821" s="122"/>
      <c r="B821" s="122"/>
      <c r="C821" s="122"/>
      <c r="D821" s="122"/>
      <c r="E821" s="122"/>
      <c r="F821" s="122"/>
      <c r="G821" s="122"/>
      <c r="H821" s="122"/>
      <c r="I821" s="122"/>
      <c r="J821" s="122"/>
      <c r="K821" s="122"/>
      <c r="L821" s="122"/>
      <c r="M821" s="123"/>
      <c r="N821" s="123"/>
      <c r="O821" s="122"/>
      <c r="P821" s="124"/>
      <c r="Q821" s="122"/>
      <c r="R821" s="122"/>
      <c r="S821" s="122"/>
      <c r="T821" s="122"/>
      <c r="U821" s="122"/>
      <c r="V821" s="124"/>
      <c r="W821" s="125"/>
      <c r="X821" s="122"/>
      <c r="Y821" s="122"/>
      <c r="Z821" s="122"/>
      <c r="AA821" s="126"/>
      <c r="AB821" s="122"/>
      <c r="AC821" s="122"/>
      <c r="AD821" s="127"/>
      <c r="AE821" s="127"/>
      <c r="AF821" s="127"/>
      <c r="AG821" s="127"/>
      <c r="AH821" s="124"/>
      <c r="AI821" s="127"/>
      <c r="AJ821" s="127"/>
      <c r="AK821" s="126"/>
      <c r="AL821" s="122"/>
      <c r="AM821" s="122"/>
      <c r="AN821" s="122"/>
      <c r="AO821" s="122"/>
      <c r="AP821" s="122"/>
      <c r="AQ821" s="124"/>
    </row>
    <row r="822" spans="1:43" ht="15.75" customHeight="1">
      <c r="A822" s="122"/>
      <c r="B822" s="122"/>
      <c r="C822" s="122"/>
      <c r="D822" s="122"/>
      <c r="E822" s="122"/>
      <c r="F822" s="122"/>
      <c r="G822" s="122"/>
      <c r="H822" s="122"/>
      <c r="I822" s="122"/>
      <c r="J822" s="122"/>
      <c r="K822" s="122"/>
      <c r="L822" s="122"/>
      <c r="M822" s="123"/>
      <c r="N822" s="123"/>
      <c r="O822" s="122"/>
      <c r="P822" s="124"/>
      <c r="Q822" s="122"/>
      <c r="R822" s="122"/>
      <c r="S822" s="122"/>
      <c r="T822" s="122"/>
      <c r="U822" s="122"/>
      <c r="V822" s="124"/>
      <c r="W822" s="125"/>
      <c r="X822" s="122"/>
      <c r="Y822" s="122"/>
      <c r="Z822" s="122"/>
      <c r="AA822" s="126"/>
      <c r="AB822" s="122"/>
      <c r="AC822" s="122"/>
      <c r="AD822" s="127"/>
      <c r="AE822" s="127"/>
      <c r="AF822" s="127"/>
      <c r="AG822" s="127"/>
      <c r="AH822" s="124"/>
      <c r="AI822" s="127"/>
      <c r="AJ822" s="127"/>
      <c r="AK822" s="126"/>
      <c r="AL822" s="122"/>
      <c r="AM822" s="122"/>
      <c r="AN822" s="122"/>
      <c r="AO822" s="122"/>
      <c r="AP822" s="122"/>
      <c r="AQ822" s="124"/>
    </row>
    <row r="823" spans="1:43" ht="15.75" customHeight="1">
      <c r="A823" s="122"/>
      <c r="B823" s="122"/>
      <c r="C823" s="122"/>
      <c r="D823" s="122"/>
      <c r="E823" s="122"/>
      <c r="F823" s="122"/>
      <c r="G823" s="122"/>
      <c r="H823" s="122"/>
      <c r="I823" s="122"/>
      <c r="J823" s="122"/>
      <c r="K823" s="122"/>
      <c r="L823" s="122"/>
      <c r="M823" s="123"/>
      <c r="N823" s="123"/>
      <c r="O823" s="122"/>
      <c r="P823" s="124"/>
      <c r="Q823" s="122"/>
      <c r="R823" s="122"/>
      <c r="S823" s="122"/>
      <c r="T823" s="122"/>
      <c r="U823" s="122"/>
      <c r="V823" s="124"/>
      <c r="W823" s="125"/>
      <c r="X823" s="122"/>
      <c r="Y823" s="122"/>
      <c r="Z823" s="122"/>
      <c r="AA823" s="126"/>
      <c r="AB823" s="122"/>
      <c r="AC823" s="122"/>
      <c r="AD823" s="127"/>
      <c r="AE823" s="127"/>
      <c r="AF823" s="127"/>
      <c r="AG823" s="127"/>
      <c r="AH823" s="124"/>
      <c r="AI823" s="127"/>
      <c r="AJ823" s="127"/>
      <c r="AK823" s="126"/>
      <c r="AL823" s="122"/>
      <c r="AM823" s="122"/>
      <c r="AN823" s="122"/>
      <c r="AO823" s="122"/>
      <c r="AP823" s="122"/>
      <c r="AQ823" s="124"/>
    </row>
    <row r="824" spans="1:43" ht="15.75" customHeight="1">
      <c r="A824" s="122"/>
      <c r="B824" s="122"/>
      <c r="C824" s="122"/>
      <c r="D824" s="122"/>
      <c r="E824" s="122"/>
      <c r="F824" s="122"/>
      <c r="G824" s="122"/>
      <c r="H824" s="122"/>
      <c r="I824" s="122"/>
      <c r="J824" s="122"/>
      <c r="K824" s="122"/>
      <c r="L824" s="122"/>
      <c r="M824" s="123"/>
      <c r="N824" s="123"/>
      <c r="O824" s="122"/>
      <c r="P824" s="124"/>
      <c r="Q824" s="122"/>
      <c r="R824" s="122"/>
      <c r="S824" s="122"/>
      <c r="T824" s="122"/>
      <c r="U824" s="122"/>
      <c r="V824" s="124"/>
      <c r="W824" s="125"/>
      <c r="X824" s="122"/>
      <c r="Y824" s="122"/>
      <c r="Z824" s="122"/>
      <c r="AA824" s="126"/>
      <c r="AB824" s="122"/>
      <c r="AC824" s="122"/>
      <c r="AD824" s="127"/>
      <c r="AE824" s="127"/>
      <c r="AF824" s="127"/>
      <c r="AG824" s="127"/>
      <c r="AH824" s="124"/>
      <c r="AI824" s="127"/>
      <c r="AJ824" s="127"/>
      <c r="AK824" s="126"/>
      <c r="AL824" s="122"/>
      <c r="AM824" s="122"/>
      <c r="AN824" s="122"/>
      <c r="AO824" s="122"/>
      <c r="AP824" s="122"/>
      <c r="AQ824" s="124"/>
    </row>
    <row r="825" spans="1:43" ht="15.75" customHeight="1">
      <c r="A825" s="122"/>
      <c r="B825" s="122"/>
      <c r="C825" s="122"/>
      <c r="D825" s="122"/>
      <c r="E825" s="122"/>
      <c r="F825" s="122"/>
      <c r="G825" s="122"/>
      <c r="H825" s="122"/>
      <c r="I825" s="122"/>
      <c r="J825" s="122"/>
      <c r="K825" s="122"/>
      <c r="L825" s="122"/>
      <c r="M825" s="123"/>
      <c r="N825" s="123"/>
      <c r="O825" s="122"/>
      <c r="P825" s="124"/>
      <c r="Q825" s="122"/>
      <c r="R825" s="122"/>
      <c r="S825" s="122"/>
      <c r="T825" s="122"/>
      <c r="U825" s="122"/>
      <c r="V825" s="124"/>
      <c r="W825" s="125"/>
      <c r="X825" s="122"/>
      <c r="Y825" s="122"/>
      <c r="Z825" s="122"/>
      <c r="AA825" s="126"/>
      <c r="AB825" s="122"/>
      <c r="AC825" s="122"/>
      <c r="AD825" s="127"/>
      <c r="AE825" s="127"/>
      <c r="AF825" s="127"/>
      <c r="AG825" s="127"/>
      <c r="AH825" s="124"/>
      <c r="AI825" s="127"/>
      <c r="AJ825" s="127"/>
      <c r="AK825" s="126"/>
      <c r="AL825" s="122"/>
      <c r="AM825" s="122"/>
      <c r="AN825" s="122"/>
      <c r="AO825" s="122"/>
      <c r="AP825" s="122"/>
      <c r="AQ825" s="124"/>
    </row>
    <row r="826" spans="1:43" ht="15.75" customHeight="1">
      <c r="A826" s="122"/>
      <c r="B826" s="122"/>
      <c r="C826" s="122"/>
      <c r="D826" s="122"/>
      <c r="E826" s="122"/>
      <c r="F826" s="122"/>
      <c r="G826" s="122"/>
      <c r="H826" s="122"/>
      <c r="I826" s="122"/>
      <c r="J826" s="122"/>
      <c r="K826" s="122"/>
      <c r="L826" s="122"/>
      <c r="M826" s="123"/>
      <c r="N826" s="123"/>
      <c r="O826" s="122"/>
      <c r="P826" s="124"/>
      <c r="Q826" s="122"/>
      <c r="R826" s="122"/>
      <c r="S826" s="122"/>
      <c r="T826" s="122"/>
      <c r="U826" s="122"/>
      <c r="V826" s="124"/>
      <c r="W826" s="125"/>
      <c r="X826" s="122"/>
      <c r="Y826" s="122"/>
      <c r="Z826" s="122"/>
      <c r="AA826" s="126"/>
      <c r="AB826" s="122"/>
      <c r="AC826" s="122"/>
      <c r="AD826" s="127"/>
      <c r="AE826" s="127"/>
      <c r="AF826" s="127"/>
      <c r="AG826" s="127"/>
      <c r="AH826" s="124"/>
      <c r="AI826" s="127"/>
      <c r="AJ826" s="127"/>
      <c r="AK826" s="126"/>
      <c r="AL826" s="122"/>
      <c r="AM826" s="122"/>
      <c r="AN826" s="122"/>
      <c r="AO826" s="122"/>
      <c r="AP826" s="122"/>
      <c r="AQ826" s="124"/>
    </row>
    <row r="827" spans="1:43" ht="15.75" customHeight="1">
      <c r="A827" s="122"/>
      <c r="B827" s="122"/>
      <c r="C827" s="122"/>
      <c r="D827" s="122"/>
      <c r="E827" s="122"/>
      <c r="F827" s="122"/>
      <c r="G827" s="122"/>
      <c r="H827" s="122"/>
      <c r="I827" s="122"/>
      <c r="J827" s="122"/>
      <c r="K827" s="122"/>
      <c r="L827" s="122"/>
      <c r="M827" s="123"/>
      <c r="N827" s="123"/>
      <c r="O827" s="122"/>
      <c r="P827" s="124"/>
      <c r="Q827" s="122"/>
      <c r="R827" s="122"/>
      <c r="S827" s="122"/>
      <c r="T827" s="122"/>
      <c r="U827" s="122"/>
      <c r="V827" s="124"/>
      <c r="W827" s="125"/>
      <c r="X827" s="122"/>
      <c r="Y827" s="122"/>
      <c r="Z827" s="122"/>
      <c r="AA827" s="126"/>
      <c r="AB827" s="122"/>
      <c r="AC827" s="122"/>
      <c r="AD827" s="127"/>
      <c r="AE827" s="127"/>
      <c r="AF827" s="127"/>
      <c r="AG827" s="127"/>
      <c r="AH827" s="124"/>
      <c r="AI827" s="127"/>
      <c r="AJ827" s="127"/>
      <c r="AK827" s="126"/>
      <c r="AL827" s="122"/>
      <c r="AM827" s="122"/>
      <c r="AN827" s="122"/>
      <c r="AO827" s="122"/>
      <c r="AP827" s="122"/>
      <c r="AQ827" s="124"/>
    </row>
    <row r="828" spans="1:43" ht="15.75" customHeight="1">
      <c r="A828" s="122"/>
      <c r="B828" s="122"/>
      <c r="C828" s="122"/>
      <c r="D828" s="122"/>
      <c r="E828" s="122"/>
      <c r="F828" s="122"/>
      <c r="G828" s="122"/>
      <c r="H828" s="122"/>
      <c r="I828" s="122"/>
      <c r="J828" s="122"/>
      <c r="K828" s="122"/>
      <c r="L828" s="122"/>
      <c r="M828" s="123"/>
      <c r="N828" s="123"/>
      <c r="O828" s="122"/>
      <c r="P828" s="124"/>
      <c r="Q828" s="122"/>
      <c r="R828" s="122"/>
      <c r="S828" s="122"/>
      <c r="T828" s="122"/>
      <c r="U828" s="122"/>
      <c r="V828" s="124"/>
      <c r="W828" s="125"/>
      <c r="X828" s="122"/>
      <c r="Y828" s="122"/>
      <c r="Z828" s="122"/>
      <c r="AA828" s="126"/>
      <c r="AB828" s="122"/>
      <c r="AC828" s="122"/>
      <c r="AD828" s="127"/>
      <c r="AE828" s="127"/>
      <c r="AF828" s="127"/>
      <c r="AG828" s="127"/>
      <c r="AH828" s="124"/>
      <c r="AI828" s="127"/>
      <c r="AJ828" s="127"/>
      <c r="AK828" s="126"/>
      <c r="AL828" s="122"/>
      <c r="AM828" s="122"/>
      <c r="AN828" s="122"/>
      <c r="AO828" s="122"/>
      <c r="AP828" s="122"/>
      <c r="AQ828" s="124"/>
    </row>
    <row r="829" spans="1:43" ht="15.75" customHeight="1">
      <c r="A829" s="122"/>
      <c r="B829" s="122"/>
      <c r="C829" s="122"/>
      <c r="D829" s="122"/>
      <c r="E829" s="122"/>
      <c r="F829" s="122"/>
      <c r="G829" s="122"/>
      <c r="H829" s="122"/>
      <c r="I829" s="122"/>
      <c r="J829" s="122"/>
      <c r="K829" s="122"/>
      <c r="L829" s="122"/>
      <c r="M829" s="123"/>
      <c r="N829" s="123"/>
      <c r="O829" s="122"/>
      <c r="P829" s="124"/>
      <c r="Q829" s="122"/>
      <c r="R829" s="122"/>
      <c r="S829" s="122"/>
      <c r="T829" s="122"/>
      <c r="U829" s="122"/>
      <c r="V829" s="124"/>
      <c r="W829" s="125"/>
      <c r="X829" s="122"/>
      <c r="Y829" s="122"/>
      <c r="Z829" s="122"/>
      <c r="AA829" s="126"/>
      <c r="AB829" s="122"/>
      <c r="AC829" s="122"/>
      <c r="AD829" s="127"/>
      <c r="AE829" s="127"/>
      <c r="AF829" s="127"/>
      <c r="AG829" s="127"/>
      <c r="AH829" s="124"/>
      <c r="AI829" s="127"/>
      <c r="AJ829" s="127"/>
      <c r="AK829" s="126"/>
      <c r="AL829" s="122"/>
      <c r="AM829" s="122"/>
      <c r="AN829" s="122"/>
      <c r="AO829" s="122"/>
      <c r="AP829" s="122"/>
      <c r="AQ829" s="124"/>
    </row>
    <row r="830" spans="1:43" ht="15.75" customHeight="1">
      <c r="A830" s="122"/>
      <c r="B830" s="122"/>
      <c r="C830" s="122"/>
      <c r="D830" s="122"/>
      <c r="E830" s="122"/>
      <c r="F830" s="122"/>
      <c r="G830" s="122"/>
      <c r="H830" s="122"/>
      <c r="I830" s="122"/>
      <c r="J830" s="122"/>
      <c r="K830" s="122"/>
      <c r="L830" s="122"/>
      <c r="M830" s="123"/>
      <c r="N830" s="123"/>
      <c r="O830" s="122"/>
      <c r="P830" s="124"/>
      <c r="Q830" s="122"/>
      <c r="R830" s="122"/>
      <c r="S830" s="122"/>
      <c r="T830" s="122"/>
      <c r="U830" s="122"/>
      <c r="V830" s="124"/>
      <c r="W830" s="125"/>
      <c r="X830" s="122"/>
      <c r="Y830" s="122"/>
      <c r="Z830" s="122"/>
      <c r="AA830" s="126"/>
      <c r="AB830" s="122"/>
      <c r="AC830" s="122"/>
      <c r="AD830" s="127"/>
      <c r="AE830" s="127"/>
      <c r="AF830" s="127"/>
      <c r="AG830" s="127"/>
      <c r="AH830" s="124"/>
      <c r="AI830" s="127"/>
      <c r="AJ830" s="127"/>
      <c r="AK830" s="126"/>
      <c r="AL830" s="122"/>
      <c r="AM830" s="122"/>
      <c r="AN830" s="122"/>
      <c r="AO830" s="122"/>
      <c r="AP830" s="122"/>
      <c r="AQ830" s="124"/>
    </row>
    <row r="831" spans="1:43" ht="15.75" customHeight="1">
      <c r="A831" s="122"/>
      <c r="B831" s="122"/>
      <c r="C831" s="122"/>
      <c r="D831" s="122"/>
      <c r="E831" s="122"/>
      <c r="F831" s="122"/>
      <c r="G831" s="122"/>
      <c r="H831" s="122"/>
      <c r="I831" s="122"/>
      <c r="J831" s="122"/>
      <c r="K831" s="122"/>
      <c r="L831" s="122"/>
      <c r="M831" s="123"/>
      <c r="N831" s="123"/>
      <c r="O831" s="122"/>
      <c r="P831" s="124"/>
      <c r="Q831" s="122"/>
      <c r="R831" s="122"/>
      <c r="S831" s="122"/>
      <c r="T831" s="122"/>
      <c r="U831" s="122"/>
      <c r="V831" s="124"/>
      <c r="W831" s="125"/>
      <c r="X831" s="122"/>
      <c r="Y831" s="122"/>
      <c r="Z831" s="122"/>
      <c r="AA831" s="126"/>
      <c r="AB831" s="122"/>
      <c r="AC831" s="122"/>
      <c r="AD831" s="127"/>
      <c r="AE831" s="127"/>
      <c r="AF831" s="127"/>
      <c r="AG831" s="127"/>
      <c r="AH831" s="124"/>
      <c r="AI831" s="127"/>
      <c r="AJ831" s="127"/>
      <c r="AK831" s="126"/>
      <c r="AL831" s="122"/>
      <c r="AM831" s="122"/>
      <c r="AN831" s="122"/>
      <c r="AO831" s="122"/>
      <c r="AP831" s="122"/>
      <c r="AQ831" s="124"/>
    </row>
    <row r="832" spans="1:43" ht="15.75" customHeight="1">
      <c r="A832" s="122"/>
      <c r="B832" s="122"/>
      <c r="C832" s="122"/>
      <c r="D832" s="122"/>
      <c r="E832" s="122"/>
      <c r="F832" s="122"/>
      <c r="G832" s="122"/>
      <c r="H832" s="122"/>
      <c r="I832" s="122"/>
      <c r="J832" s="122"/>
      <c r="K832" s="122"/>
      <c r="L832" s="122"/>
      <c r="M832" s="123"/>
      <c r="N832" s="123"/>
      <c r="O832" s="122"/>
      <c r="P832" s="124"/>
      <c r="Q832" s="122"/>
      <c r="R832" s="122"/>
      <c r="S832" s="122"/>
      <c r="T832" s="122"/>
      <c r="U832" s="122"/>
      <c r="V832" s="124"/>
      <c r="W832" s="125"/>
      <c r="X832" s="122"/>
      <c r="Y832" s="122"/>
      <c r="Z832" s="122"/>
      <c r="AA832" s="126"/>
      <c r="AB832" s="122"/>
      <c r="AC832" s="122"/>
      <c r="AD832" s="127"/>
      <c r="AE832" s="127"/>
      <c r="AF832" s="127"/>
      <c r="AG832" s="127"/>
      <c r="AH832" s="124"/>
      <c r="AI832" s="127"/>
      <c r="AJ832" s="127"/>
      <c r="AK832" s="126"/>
      <c r="AL832" s="122"/>
      <c r="AM832" s="122"/>
      <c r="AN832" s="122"/>
      <c r="AO832" s="122"/>
      <c r="AP832" s="122"/>
      <c r="AQ832" s="124"/>
    </row>
    <row r="833" spans="1:43" ht="15.75" customHeight="1">
      <c r="A833" s="122"/>
      <c r="B833" s="122"/>
      <c r="C833" s="122"/>
      <c r="D833" s="122"/>
      <c r="E833" s="122"/>
      <c r="F833" s="122"/>
      <c r="G833" s="122"/>
      <c r="H833" s="122"/>
      <c r="I833" s="122"/>
      <c r="J833" s="122"/>
      <c r="K833" s="122"/>
      <c r="L833" s="122"/>
      <c r="M833" s="123"/>
      <c r="N833" s="123"/>
      <c r="O833" s="122"/>
      <c r="P833" s="124"/>
      <c r="Q833" s="122"/>
      <c r="R833" s="122"/>
      <c r="S833" s="122"/>
      <c r="T833" s="122"/>
      <c r="U833" s="122"/>
      <c r="V833" s="124"/>
      <c r="W833" s="125"/>
      <c r="X833" s="122"/>
      <c r="Y833" s="122"/>
      <c r="Z833" s="122"/>
      <c r="AA833" s="126"/>
      <c r="AB833" s="122"/>
      <c r="AC833" s="122"/>
      <c r="AD833" s="127"/>
      <c r="AE833" s="127"/>
      <c r="AF833" s="127"/>
      <c r="AG833" s="127"/>
      <c r="AH833" s="124"/>
      <c r="AI833" s="127"/>
      <c r="AJ833" s="127"/>
      <c r="AK833" s="126"/>
      <c r="AL833" s="122"/>
      <c r="AM833" s="122"/>
      <c r="AN833" s="122"/>
      <c r="AO833" s="122"/>
      <c r="AP833" s="122"/>
      <c r="AQ833" s="124"/>
    </row>
    <row r="834" spans="1:43" ht="15.75" customHeight="1">
      <c r="A834" s="122"/>
      <c r="B834" s="122"/>
      <c r="C834" s="122"/>
      <c r="D834" s="122"/>
      <c r="E834" s="122"/>
      <c r="F834" s="122"/>
      <c r="G834" s="122"/>
      <c r="H834" s="122"/>
      <c r="I834" s="122"/>
      <c r="J834" s="122"/>
      <c r="K834" s="122"/>
      <c r="L834" s="122"/>
      <c r="M834" s="123"/>
      <c r="N834" s="123"/>
      <c r="O834" s="122"/>
      <c r="P834" s="124"/>
      <c r="Q834" s="122"/>
      <c r="R834" s="122"/>
      <c r="S834" s="122"/>
      <c r="T834" s="122"/>
      <c r="U834" s="122"/>
      <c r="V834" s="124"/>
      <c r="W834" s="125"/>
      <c r="X834" s="122"/>
      <c r="Y834" s="122"/>
      <c r="Z834" s="122"/>
      <c r="AA834" s="126"/>
      <c r="AB834" s="122"/>
      <c r="AC834" s="122"/>
      <c r="AD834" s="127"/>
      <c r="AE834" s="127"/>
      <c r="AF834" s="127"/>
      <c r="AG834" s="127"/>
      <c r="AH834" s="124"/>
      <c r="AI834" s="127"/>
      <c r="AJ834" s="127"/>
      <c r="AK834" s="126"/>
      <c r="AL834" s="122"/>
      <c r="AM834" s="122"/>
      <c r="AN834" s="122"/>
      <c r="AO834" s="122"/>
      <c r="AP834" s="122"/>
      <c r="AQ834" s="124"/>
    </row>
    <row r="835" spans="1:43" ht="15.75" customHeight="1">
      <c r="A835" s="122"/>
      <c r="B835" s="122"/>
      <c r="C835" s="122"/>
      <c r="D835" s="122"/>
      <c r="E835" s="122"/>
      <c r="F835" s="122"/>
      <c r="G835" s="122"/>
      <c r="H835" s="122"/>
      <c r="I835" s="122"/>
      <c r="J835" s="122"/>
      <c r="K835" s="122"/>
      <c r="L835" s="122"/>
      <c r="M835" s="123"/>
      <c r="N835" s="123"/>
      <c r="O835" s="122"/>
      <c r="P835" s="124"/>
      <c r="Q835" s="122"/>
      <c r="R835" s="122"/>
      <c r="S835" s="122"/>
      <c r="T835" s="122"/>
      <c r="U835" s="122"/>
      <c r="V835" s="124"/>
      <c r="W835" s="125"/>
      <c r="X835" s="122"/>
      <c r="Y835" s="122"/>
      <c r="Z835" s="122"/>
      <c r="AA835" s="126"/>
      <c r="AB835" s="122"/>
      <c r="AC835" s="122"/>
      <c r="AD835" s="127"/>
      <c r="AE835" s="127"/>
      <c r="AF835" s="127"/>
      <c r="AG835" s="127"/>
      <c r="AH835" s="124"/>
      <c r="AI835" s="127"/>
      <c r="AJ835" s="127"/>
      <c r="AK835" s="126"/>
      <c r="AL835" s="122"/>
      <c r="AM835" s="122"/>
      <c r="AN835" s="122"/>
      <c r="AO835" s="122"/>
      <c r="AP835" s="122"/>
      <c r="AQ835" s="124"/>
    </row>
    <row r="836" spans="1:43" ht="15.75" customHeight="1">
      <c r="A836" s="122"/>
      <c r="B836" s="122"/>
      <c r="C836" s="122"/>
      <c r="D836" s="122"/>
      <c r="E836" s="122"/>
      <c r="F836" s="122"/>
      <c r="G836" s="122"/>
      <c r="H836" s="122"/>
      <c r="I836" s="122"/>
      <c r="J836" s="122"/>
      <c r="K836" s="122"/>
      <c r="L836" s="122"/>
      <c r="M836" s="123"/>
      <c r="N836" s="123"/>
      <c r="O836" s="122"/>
      <c r="P836" s="124"/>
      <c r="Q836" s="122"/>
      <c r="R836" s="122"/>
      <c r="S836" s="122"/>
      <c r="T836" s="122"/>
      <c r="U836" s="122"/>
      <c r="V836" s="124"/>
      <c r="W836" s="125"/>
      <c r="X836" s="122"/>
      <c r="Y836" s="122"/>
      <c r="Z836" s="122"/>
      <c r="AA836" s="126"/>
      <c r="AB836" s="122"/>
      <c r="AC836" s="122"/>
      <c r="AD836" s="127"/>
      <c r="AE836" s="127"/>
      <c r="AF836" s="127"/>
      <c r="AG836" s="127"/>
      <c r="AH836" s="124"/>
      <c r="AI836" s="127"/>
      <c r="AJ836" s="127"/>
      <c r="AK836" s="126"/>
      <c r="AL836" s="122"/>
      <c r="AM836" s="122"/>
      <c r="AN836" s="122"/>
      <c r="AO836" s="122"/>
      <c r="AP836" s="122"/>
      <c r="AQ836" s="124"/>
    </row>
    <row r="837" spans="1:43" ht="15.75" customHeight="1">
      <c r="A837" s="122"/>
      <c r="B837" s="122"/>
      <c r="C837" s="122"/>
      <c r="D837" s="122"/>
      <c r="E837" s="122"/>
      <c r="F837" s="122"/>
      <c r="G837" s="122"/>
      <c r="H837" s="122"/>
      <c r="I837" s="122"/>
      <c r="J837" s="122"/>
      <c r="K837" s="122"/>
      <c r="L837" s="122"/>
      <c r="M837" s="123"/>
      <c r="N837" s="123"/>
      <c r="O837" s="122"/>
      <c r="P837" s="124"/>
      <c r="Q837" s="122"/>
      <c r="R837" s="122"/>
      <c r="S837" s="122"/>
      <c r="T837" s="122"/>
      <c r="U837" s="122"/>
      <c r="V837" s="124"/>
      <c r="W837" s="125"/>
      <c r="X837" s="122"/>
      <c r="Y837" s="122"/>
      <c r="Z837" s="122"/>
      <c r="AA837" s="126"/>
      <c r="AB837" s="122"/>
      <c r="AC837" s="122"/>
      <c r="AD837" s="127"/>
      <c r="AE837" s="127"/>
      <c r="AF837" s="127"/>
      <c r="AG837" s="127"/>
      <c r="AH837" s="124"/>
      <c r="AI837" s="127"/>
      <c r="AJ837" s="127"/>
      <c r="AK837" s="126"/>
      <c r="AL837" s="122"/>
      <c r="AM837" s="122"/>
      <c r="AN837" s="122"/>
      <c r="AO837" s="122"/>
      <c r="AP837" s="122"/>
      <c r="AQ837" s="124"/>
    </row>
    <row r="838" spans="1:43" ht="15.75" customHeight="1">
      <c r="A838" s="122"/>
      <c r="B838" s="122"/>
      <c r="C838" s="122"/>
      <c r="D838" s="122"/>
      <c r="E838" s="122"/>
      <c r="F838" s="122"/>
      <c r="G838" s="122"/>
      <c r="H838" s="122"/>
      <c r="I838" s="122"/>
      <c r="J838" s="122"/>
      <c r="K838" s="122"/>
      <c r="L838" s="122"/>
      <c r="M838" s="123"/>
      <c r="N838" s="123"/>
      <c r="O838" s="122"/>
      <c r="P838" s="124"/>
      <c r="Q838" s="122"/>
      <c r="R838" s="122"/>
      <c r="S838" s="122"/>
      <c r="T838" s="122"/>
      <c r="U838" s="122"/>
      <c r="V838" s="124"/>
      <c r="W838" s="125"/>
      <c r="X838" s="122"/>
      <c r="Y838" s="122"/>
      <c r="Z838" s="122"/>
      <c r="AA838" s="126"/>
      <c r="AB838" s="122"/>
      <c r="AC838" s="122"/>
      <c r="AD838" s="127"/>
      <c r="AE838" s="127"/>
      <c r="AF838" s="127"/>
      <c r="AG838" s="127"/>
      <c r="AH838" s="124"/>
      <c r="AI838" s="127"/>
      <c r="AJ838" s="127"/>
      <c r="AK838" s="126"/>
      <c r="AL838" s="122"/>
      <c r="AM838" s="122"/>
      <c r="AN838" s="122"/>
      <c r="AO838" s="122"/>
      <c r="AP838" s="122"/>
      <c r="AQ838" s="124"/>
    </row>
    <row r="839" spans="1:43" ht="15.75" customHeight="1">
      <c r="A839" s="122"/>
      <c r="B839" s="122"/>
      <c r="C839" s="122"/>
      <c r="D839" s="122"/>
      <c r="E839" s="122"/>
      <c r="F839" s="122"/>
      <c r="G839" s="122"/>
      <c r="H839" s="122"/>
      <c r="I839" s="122"/>
      <c r="J839" s="122"/>
      <c r="K839" s="122"/>
      <c r="L839" s="122"/>
      <c r="M839" s="123"/>
      <c r="N839" s="123"/>
      <c r="O839" s="122"/>
      <c r="P839" s="124"/>
      <c r="Q839" s="122"/>
      <c r="R839" s="122"/>
      <c r="S839" s="122"/>
      <c r="T839" s="122"/>
      <c r="U839" s="122"/>
      <c r="V839" s="124"/>
      <c r="W839" s="125"/>
      <c r="X839" s="122"/>
      <c r="Y839" s="122"/>
      <c r="Z839" s="122"/>
      <c r="AA839" s="126"/>
      <c r="AB839" s="122"/>
      <c r="AC839" s="122"/>
      <c r="AD839" s="127"/>
      <c r="AE839" s="127"/>
      <c r="AF839" s="127"/>
      <c r="AG839" s="127"/>
      <c r="AH839" s="124"/>
      <c r="AI839" s="127"/>
      <c r="AJ839" s="127"/>
      <c r="AK839" s="126"/>
      <c r="AL839" s="122"/>
      <c r="AM839" s="122"/>
      <c r="AN839" s="122"/>
      <c r="AO839" s="122"/>
      <c r="AP839" s="122"/>
      <c r="AQ839" s="124"/>
    </row>
    <row r="840" spans="1:43" ht="15.75" customHeight="1">
      <c r="A840" s="122"/>
      <c r="B840" s="122"/>
      <c r="C840" s="122"/>
      <c r="D840" s="122"/>
      <c r="E840" s="122"/>
      <c r="F840" s="122"/>
      <c r="G840" s="122"/>
      <c r="H840" s="122"/>
      <c r="I840" s="122"/>
      <c r="J840" s="122"/>
      <c r="K840" s="122"/>
      <c r="L840" s="122"/>
      <c r="M840" s="123"/>
      <c r="N840" s="123"/>
      <c r="O840" s="122"/>
      <c r="P840" s="124"/>
      <c r="Q840" s="122"/>
      <c r="R840" s="122"/>
      <c r="S840" s="122"/>
      <c r="T840" s="122"/>
      <c r="U840" s="122"/>
      <c r="V840" s="124"/>
      <c r="W840" s="125"/>
      <c r="X840" s="122"/>
      <c r="Y840" s="122"/>
      <c r="Z840" s="122"/>
      <c r="AA840" s="126"/>
      <c r="AB840" s="122"/>
      <c r="AC840" s="122"/>
      <c r="AD840" s="127"/>
      <c r="AE840" s="127"/>
      <c r="AF840" s="127"/>
      <c r="AG840" s="127"/>
      <c r="AH840" s="124"/>
      <c r="AI840" s="127"/>
      <c r="AJ840" s="127"/>
      <c r="AK840" s="126"/>
      <c r="AL840" s="122"/>
      <c r="AM840" s="122"/>
      <c r="AN840" s="122"/>
      <c r="AO840" s="122"/>
      <c r="AP840" s="122"/>
      <c r="AQ840" s="124"/>
    </row>
    <row r="841" spans="1:43" ht="15.75" customHeight="1">
      <c r="A841" s="122"/>
      <c r="B841" s="122"/>
      <c r="C841" s="122"/>
      <c r="D841" s="122"/>
      <c r="E841" s="122"/>
      <c r="F841" s="122"/>
      <c r="G841" s="122"/>
      <c r="H841" s="122"/>
      <c r="I841" s="122"/>
      <c r="J841" s="122"/>
      <c r="K841" s="122"/>
      <c r="L841" s="122"/>
      <c r="M841" s="123"/>
      <c r="N841" s="123"/>
      <c r="O841" s="122"/>
      <c r="P841" s="124"/>
      <c r="Q841" s="122"/>
      <c r="R841" s="122"/>
      <c r="S841" s="122"/>
      <c r="T841" s="122"/>
      <c r="U841" s="122"/>
      <c r="V841" s="124"/>
      <c r="W841" s="125"/>
      <c r="X841" s="122"/>
      <c r="Y841" s="122"/>
      <c r="Z841" s="122"/>
      <c r="AA841" s="126"/>
      <c r="AB841" s="122"/>
      <c r="AC841" s="122"/>
      <c r="AD841" s="127"/>
      <c r="AE841" s="127"/>
      <c r="AF841" s="127"/>
      <c r="AG841" s="127"/>
      <c r="AH841" s="124"/>
      <c r="AI841" s="127"/>
      <c r="AJ841" s="127"/>
      <c r="AK841" s="126"/>
      <c r="AL841" s="122"/>
      <c r="AM841" s="122"/>
      <c r="AN841" s="122"/>
      <c r="AO841" s="122"/>
      <c r="AP841" s="122"/>
      <c r="AQ841" s="124"/>
    </row>
    <row r="842" spans="1:43" ht="15.75" customHeight="1">
      <c r="A842" s="122"/>
      <c r="B842" s="122"/>
      <c r="C842" s="122"/>
      <c r="D842" s="122"/>
      <c r="E842" s="122"/>
      <c r="F842" s="122"/>
      <c r="G842" s="122"/>
      <c r="H842" s="122"/>
      <c r="I842" s="122"/>
      <c r="J842" s="122"/>
      <c r="K842" s="122"/>
      <c r="L842" s="122"/>
      <c r="M842" s="123"/>
      <c r="N842" s="123"/>
      <c r="O842" s="122"/>
      <c r="P842" s="124"/>
      <c r="Q842" s="122"/>
      <c r="R842" s="122"/>
      <c r="S842" s="122"/>
      <c r="T842" s="122"/>
      <c r="U842" s="122"/>
      <c r="V842" s="124"/>
      <c r="W842" s="125"/>
      <c r="X842" s="122"/>
      <c r="Y842" s="122"/>
      <c r="Z842" s="122"/>
      <c r="AA842" s="126"/>
      <c r="AB842" s="122"/>
      <c r="AC842" s="122"/>
      <c r="AD842" s="127"/>
      <c r="AE842" s="127"/>
      <c r="AF842" s="127"/>
      <c r="AG842" s="127"/>
      <c r="AH842" s="124"/>
      <c r="AI842" s="127"/>
      <c r="AJ842" s="127"/>
      <c r="AK842" s="126"/>
      <c r="AL842" s="122"/>
      <c r="AM842" s="122"/>
      <c r="AN842" s="122"/>
      <c r="AO842" s="122"/>
      <c r="AP842" s="122"/>
      <c r="AQ842" s="124"/>
    </row>
    <row r="843" spans="1:43" ht="15.75" customHeight="1">
      <c r="A843" s="122"/>
      <c r="B843" s="122"/>
      <c r="C843" s="122"/>
      <c r="D843" s="122"/>
      <c r="E843" s="122"/>
      <c r="F843" s="122"/>
      <c r="G843" s="122"/>
      <c r="H843" s="122"/>
      <c r="I843" s="122"/>
      <c r="J843" s="122"/>
      <c r="K843" s="122"/>
      <c r="L843" s="122"/>
      <c r="M843" s="123"/>
      <c r="N843" s="123"/>
      <c r="O843" s="122"/>
      <c r="P843" s="124"/>
      <c r="Q843" s="122"/>
      <c r="R843" s="122"/>
      <c r="S843" s="122"/>
      <c r="T843" s="122"/>
      <c r="U843" s="122"/>
      <c r="V843" s="124"/>
      <c r="W843" s="125"/>
      <c r="X843" s="122"/>
      <c r="Y843" s="122"/>
      <c r="Z843" s="122"/>
      <c r="AA843" s="126"/>
      <c r="AB843" s="122"/>
      <c r="AC843" s="122"/>
      <c r="AD843" s="127"/>
      <c r="AE843" s="127"/>
      <c r="AF843" s="127"/>
      <c r="AG843" s="127"/>
      <c r="AH843" s="124"/>
      <c r="AI843" s="127"/>
      <c r="AJ843" s="127"/>
      <c r="AK843" s="126"/>
      <c r="AL843" s="122"/>
      <c r="AM843" s="122"/>
      <c r="AN843" s="122"/>
      <c r="AO843" s="122"/>
      <c r="AP843" s="122"/>
      <c r="AQ843" s="124"/>
    </row>
    <row r="844" spans="1:43" ht="15.75" customHeight="1">
      <c r="A844" s="122"/>
      <c r="B844" s="122"/>
      <c r="C844" s="122"/>
      <c r="D844" s="122"/>
      <c r="E844" s="122"/>
      <c r="F844" s="122"/>
      <c r="G844" s="122"/>
      <c r="H844" s="122"/>
      <c r="I844" s="122"/>
      <c r="J844" s="122"/>
      <c r="K844" s="122"/>
      <c r="L844" s="122"/>
      <c r="M844" s="123"/>
      <c r="N844" s="123"/>
      <c r="O844" s="122"/>
      <c r="P844" s="124"/>
      <c r="Q844" s="122"/>
      <c r="R844" s="122"/>
      <c r="S844" s="122"/>
      <c r="T844" s="122"/>
      <c r="U844" s="122"/>
      <c r="V844" s="124"/>
      <c r="W844" s="125"/>
      <c r="X844" s="122"/>
      <c r="Y844" s="122"/>
      <c r="Z844" s="122"/>
      <c r="AA844" s="126"/>
      <c r="AB844" s="122"/>
      <c r="AC844" s="122"/>
      <c r="AD844" s="127"/>
      <c r="AE844" s="127"/>
      <c r="AF844" s="127"/>
      <c r="AG844" s="127"/>
      <c r="AH844" s="124"/>
      <c r="AI844" s="127"/>
      <c r="AJ844" s="127"/>
      <c r="AK844" s="126"/>
      <c r="AL844" s="122"/>
      <c r="AM844" s="122"/>
      <c r="AN844" s="122"/>
      <c r="AO844" s="122"/>
      <c r="AP844" s="122"/>
      <c r="AQ844" s="124"/>
    </row>
    <row r="845" spans="1:43" ht="15.75" customHeight="1">
      <c r="A845" s="122"/>
      <c r="B845" s="122"/>
      <c r="C845" s="122"/>
      <c r="D845" s="122"/>
      <c r="E845" s="122"/>
      <c r="F845" s="122"/>
      <c r="G845" s="122"/>
      <c r="H845" s="122"/>
      <c r="I845" s="122"/>
      <c r="J845" s="122"/>
      <c r="K845" s="122"/>
      <c r="L845" s="122"/>
      <c r="M845" s="123"/>
      <c r="N845" s="123"/>
      <c r="O845" s="122"/>
      <c r="P845" s="124"/>
      <c r="Q845" s="122"/>
      <c r="R845" s="122"/>
      <c r="S845" s="122"/>
      <c r="T845" s="122"/>
      <c r="U845" s="122"/>
      <c r="V845" s="124"/>
      <c r="W845" s="125"/>
      <c r="X845" s="122"/>
      <c r="Y845" s="122"/>
      <c r="Z845" s="122"/>
      <c r="AA845" s="126"/>
      <c r="AB845" s="122"/>
      <c r="AC845" s="122"/>
      <c r="AD845" s="127"/>
      <c r="AE845" s="127"/>
      <c r="AF845" s="127"/>
      <c r="AG845" s="127"/>
      <c r="AH845" s="124"/>
      <c r="AI845" s="127"/>
      <c r="AJ845" s="127"/>
      <c r="AK845" s="126"/>
      <c r="AL845" s="122"/>
      <c r="AM845" s="122"/>
      <c r="AN845" s="122"/>
      <c r="AO845" s="122"/>
      <c r="AP845" s="122"/>
      <c r="AQ845" s="124"/>
    </row>
    <row r="846" spans="1:43" ht="15.75" customHeight="1">
      <c r="A846" s="122"/>
      <c r="B846" s="122"/>
      <c r="C846" s="122"/>
      <c r="D846" s="122"/>
      <c r="E846" s="122"/>
      <c r="F846" s="122"/>
      <c r="G846" s="122"/>
      <c r="H846" s="122"/>
      <c r="I846" s="122"/>
      <c r="J846" s="122"/>
      <c r="K846" s="122"/>
      <c r="L846" s="122"/>
      <c r="M846" s="123"/>
      <c r="N846" s="123"/>
      <c r="O846" s="122"/>
      <c r="P846" s="124"/>
      <c r="Q846" s="122"/>
      <c r="R846" s="122"/>
      <c r="S846" s="122"/>
      <c r="T846" s="122"/>
      <c r="U846" s="122"/>
      <c r="V846" s="124"/>
      <c r="W846" s="125"/>
      <c r="X846" s="122"/>
      <c r="Y846" s="122"/>
      <c r="Z846" s="122"/>
      <c r="AA846" s="126"/>
      <c r="AB846" s="122"/>
      <c r="AC846" s="122"/>
      <c r="AD846" s="127"/>
      <c r="AE846" s="127"/>
      <c r="AF846" s="127"/>
      <c r="AG846" s="127"/>
      <c r="AH846" s="124"/>
      <c r="AI846" s="127"/>
      <c r="AJ846" s="127"/>
      <c r="AK846" s="126"/>
      <c r="AL846" s="122"/>
      <c r="AM846" s="122"/>
      <c r="AN846" s="122"/>
      <c r="AO846" s="122"/>
      <c r="AP846" s="122"/>
      <c r="AQ846" s="124"/>
    </row>
    <row r="847" spans="1:43" ht="15.75" customHeight="1">
      <c r="A847" s="122"/>
      <c r="B847" s="122"/>
      <c r="C847" s="122"/>
      <c r="D847" s="122"/>
      <c r="E847" s="122"/>
      <c r="F847" s="122"/>
      <c r="G847" s="122"/>
      <c r="H847" s="122"/>
      <c r="I847" s="122"/>
      <c r="J847" s="122"/>
      <c r="K847" s="122"/>
      <c r="L847" s="122"/>
      <c r="M847" s="123"/>
      <c r="N847" s="123"/>
      <c r="O847" s="122"/>
      <c r="P847" s="124"/>
      <c r="Q847" s="122"/>
      <c r="R847" s="122"/>
      <c r="S847" s="122"/>
      <c r="T847" s="122"/>
      <c r="U847" s="122"/>
      <c r="V847" s="124"/>
      <c r="W847" s="125"/>
      <c r="X847" s="122"/>
      <c r="Y847" s="122"/>
      <c r="Z847" s="122"/>
      <c r="AA847" s="126"/>
      <c r="AB847" s="122"/>
      <c r="AC847" s="122"/>
      <c r="AD847" s="127"/>
      <c r="AE847" s="127"/>
      <c r="AF847" s="127"/>
      <c r="AG847" s="127"/>
      <c r="AH847" s="124"/>
      <c r="AI847" s="127"/>
      <c r="AJ847" s="127"/>
      <c r="AK847" s="126"/>
      <c r="AL847" s="122"/>
      <c r="AM847" s="122"/>
      <c r="AN847" s="122"/>
      <c r="AO847" s="122"/>
      <c r="AP847" s="122"/>
      <c r="AQ847" s="124"/>
    </row>
    <row r="848" spans="1:43" ht="15.75" customHeight="1">
      <c r="A848" s="122"/>
      <c r="B848" s="122"/>
      <c r="C848" s="122"/>
      <c r="D848" s="122"/>
      <c r="E848" s="122"/>
      <c r="F848" s="122"/>
      <c r="G848" s="122"/>
      <c r="H848" s="122"/>
      <c r="I848" s="122"/>
      <c r="J848" s="122"/>
      <c r="K848" s="122"/>
      <c r="L848" s="122"/>
      <c r="M848" s="123"/>
      <c r="N848" s="123"/>
      <c r="O848" s="122"/>
      <c r="P848" s="124"/>
      <c r="Q848" s="122"/>
      <c r="R848" s="122"/>
      <c r="S848" s="122"/>
      <c r="T848" s="122"/>
      <c r="U848" s="122"/>
      <c r="V848" s="124"/>
      <c r="W848" s="125"/>
      <c r="X848" s="122"/>
      <c r="Y848" s="122"/>
      <c r="Z848" s="122"/>
      <c r="AA848" s="126"/>
      <c r="AB848" s="122"/>
      <c r="AC848" s="122"/>
      <c r="AD848" s="127"/>
      <c r="AE848" s="127"/>
      <c r="AF848" s="127"/>
      <c r="AG848" s="127"/>
      <c r="AH848" s="124"/>
      <c r="AI848" s="127"/>
      <c r="AJ848" s="127"/>
      <c r="AK848" s="126"/>
      <c r="AL848" s="122"/>
      <c r="AM848" s="122"/>
      <c r="AN848" s="122"/>
      <c r="AO848" s="122"/>
      <c r="AP848" s="122"/>
      <c r="AQ848" s="124"/>
    </row>
    <row r="849" spans="1:43" ht="15.75" customHeight="1">
      <c r="A849" s="122"/>
      <c r="B849" s="122"/>
      <c r="C849" s="122"/>
      <c r="D849" s="122"/>
      <c r="E849" s="122"/>
      <c r="F849" s="122"/>
      <c r="G849" s="122"/>
      <c r="H849" s="122"/>
      <c r="I849" s="122"/>
      <c r="J849" s="122"/>
      <c r="K849" s="122"/>
      <c r="L849" s="122"/>
      <c r="M849" s="123"/>
      <c r="N849" s="123"/>
      <c r="O849" s="122"/>
      <c r="P849" s="124"/>
      <c r="Q849" s="122"/>
      <c r="R849" s="122"/>
      <c r="S849" s="122"/>
      <c r="T849" s="122"/>
      <c r="U849" s="122"/>
      <c r="V849" s="124"/>
      <c r="W849" s="125"/>
      <c r="X849" s="122"/>
      <c r="Y849" s="122"/>
      <c r="Z849" s="122"/>
      <c r="AA849" s="126"/>
      <c r="AB849" s="122"/>
      <c r="AC849" s="122"/>
      <c r="AD849" s="127"/>
      <c r="AE849" s="127"/>
      <c r="AF849" s="127"/>
      <c r="AG849" s="127"/>
      <c r="AH849" s="124"/>
      <c r="AI849" s="127"/>
      <c r="AJ849" s="127"/>
      <c r="AK849" s="126"/>
      <c r="AL849" s="122"/>
      <c r="AM849" s="122"/>
      <c r="AN849" s="122"/>
      <c r="AO849" s="122"/>
      <c r="AP849" s="122"/>
      <c r="AQ849" s="124"/>
    </row>
    <row r="850" spans="1:43" ht="15.75" customHeight="1">
      <c r="A850" s="122"/>
      <c r="B850" s="122"/>
      <c r="C850" s="122"/>
      <c r="D850" s="122"/>
      <c r="E850" s="122"/>
      <c r="F850" s="122"/>
      <c r="G850" s="122"/>
      <c r="H850" s="122"/>
      <c r="I850" s="122"/>
      <c r="J850" s="122"/>
      <c r="K850" s="122"/>
      <c r="L850" s="122"/>
      <c r="M850" s="123"/>
      <c r="N850" s="123"/>
      <c r="O850" s="122"/>
      <c r="P850" s="124"/>
      <c r="Q850" s="122"/>
      <c r="R850" s="122"/>
      <c r="S850" s="122"/>
      <c r="T850" s="122"/>
      <c r="U850" s="122"/>
      <c r="V850" s="124"/>
      <c r="W850" s="125"/>
      <c r="X850" s="122"/>
      <c r="Y850" s="122"/>
      <c r="Z850" s="122"/>
      <c r="AA850" s="126"/>
      <c r="AB850" s="122"/>
      <c r="AC850" s="122"/>
      <c r="AD850" s="127"/>
      <c r="AE850" s="127"/>
      <c r="AF850" s="127"/>
      <c r="AG850" s="127"/>
      <c r="AH850" s="124"/>
      <c r="AI850" s="127"/>
      <c r="AJ850" s="127"/>
      <c r="AK850" s="126"/>
      <c r="AL850" s="122"/>
      <c r="AM850" s="122"/>
      <c r="AN850" s="122"/>
      <c r="AO850" s="122"/>
      <c r="AP850" s="122"/>
      <c r="AQ850" s="124"/>
    </row>
    <row r="851" spans="1:43" ht="15.75" customHeight="1">
      <c r="A851" s="122"/>
      <c r="B851" s="122"/>
      <c r="C851" s="122"/>
      <c r="D851" s="122"/>
      <c r="E851" s="122"/>
      <c r="F851" s="122"/>
      <c r="G851" s="122"/>
      <c r="H851" s="122"/>
      <c r="I851" s="122"/>
      <c r="J851" s="122"/>
      <c r="K851" s="122"/>
      <c r="L851" s="122"/>
      <c r="M851" s="123"/>
      <c r="N851" s="123"/>
      <c r="O851" s="122"/>
      <c r="P851" s="124"/>
      <c r="Q851" s="122"/>
      <c r="R851" s="122"/>
      <c r="S851" s="122"/>
      <c r="T851" s="122"/>
      <c r="U851" s="122"/>
      <c r="V851" s="124"/>
      <c r="W851" s="125"/>
      <c r="X851" s="122"/>
      <c r="Y851" s="122"/>
      <c r="Z851" s="122"/>
      <c r="AA851" s="126"/>
      <c r="AB851" s="122"/>
      <c r="AC851" s="122"/>
      <c r="AD851" s="127"/>
      <c r="AE851" s="127"/>
      <c r="AF851" s="127"/>
      <c r="AG851" s="127"/>
      <c r="AH851" s="124"/>
      <c r="AI851" s="127"/>
      <c r="AJ851" s="127"/>
      <c r="AK851" s="126"/>
      <c r="AL851" s="122"/>
      <c r="AM851" s="122"/>
      <c r="AN851" s="122"/>
      <c r="AO851" s="122"/>
      <c r="AP851" s="122"/>
      <c r="AQ851" s="124"/>
    </row>
    <row r="852" spans="1:43" ht="15.75" customHeight="1">
      <c r="A852" s="122"/>
      <c r="B852" s="122"/>
      <c r="C852" s="122"/>
      <c r="D852" s="122"/>
      <c r="E852" s="122"/>
      <c r="F852" s="122"/>
      <c r="G852" s="122"/>
      <c r="H852" s="122"/>
      <c r="I852" s="122"/>
      <c r="J852" s="122"/>
      <c r="K852" s="122"/>
      <c r="L852" s="122"/>
      <c r="M852" s="123"/>
      <c r="N852" s="123"/>
      <c r="O852" s="122"/>
      <c r="P852" s="124"/>
      <c r="Q852" s="122"/>
      <c r="R852" s="122"/>
      <c r="S852" s="122"/>
      <c r="T852" s="122"/>
      <c r="U852" s="122"/>
      <c r="V852" s="124"/>
      <c r="W852" s="125"/>
      <c r="X852" s="122"/>
      <c r="Y852" s="122"/>
      <c r="Z852" s="122"/>
      <c r="AA852" s="126"/>
      <c r="AB852" s="122"/>
      <c r="AC852" s="122"/>
      <c r="AD852" s="127"/>
      <c r="AE852" s="127"/>
      <c r="AF852" s="127"/>
      <c r="AG852" s="127"/>
      <c r="AH852" s="124"/>
      <c r="AI852" s="127"/>
      <c r="AJ852" s="127"/>
      <c r="AK852" s="126"/>
      <c r="AL852" s="122"/>
      <c r="AM852" s="122"/>
      <c r="AN852" s="122"/>
      <c r="AO852" s="122"/>
      <c r="AP852" s="122"/>
      <c r="AQ852" s="124"/>
    </row>
    <row r="853" spans="1:43" ht="15.75" customHeight="1">
      <c r="A853" s="122"/>
      <c r="B853" s="122"/>
      <c r="C853" s="122"/>
      <c r="D853" s="122"/>
      <c r="E853" s="122"/>
      <c r="F853" s="122"/>
      <c r="G853" s="122"/>
      <c r="H853" s="122"/>
      <c r="I853" s="122"/>
      <c r="J853" s="122"/>
      <c r="K853" s="122"/>
      <c r="L853" s="122"/>
      <c r="M853" s="123"/>
      <c r="N853" s="123"/>
      <c r="O853" s="122"/>
      <c r="P853" s="124"/>
      <c r="Q853" s="122"/>
      <c r="R853" s="122"/>
      <c r="S853" s="122"/>
      <c r="T853" s="122"/>
      <c r="U853" s="122"/>
      <c r="V853" s="124"/>
      <c r="W853" s="125"/>
      <c r="X853" s="122"/>
      <c r="Y853" s="122"/>
      <c r="Z853" s="122"/>
      <c r="AA853" s="126"/>
      <c r="AB853" s="122"/>
      <c r="AC853" s="122"/>
      <c r="AD853" s="127"/>
      <c r="AE853" s="127"/>
      <c r="AF853" s="127"/>
      <c r="AG853" s="127"/>
      <c r="AH853" s="124"/>
      <c r="AI853" s="127"/>
      <c r="AJ853" s="127"/>
      <c r="AK853" s="126"/>
      <c r="AL853" s="122"/>
      <c r="AM853" s="122"/>
      <c r="AN853" s="122"/>
      <c r="AO853" s="122"/>
      <c r="AP853" s="122"/>
      <c r="AQ853" s="124"/>
    </row>
    <row r="854" spans="1:43" ht="15.75" customHeight="1">
      <c r="A854" s="122"/>
      <c r="B854" s="122"/>
      <c r="C854" s="122"/>
      <c r="D854" s="122"/>
      <c r="E854" s="122"/>
      <c r="F854" s="122"/>
      <c r="G854" s="122"/>
      <c r="H854" s="122"/>
      <c r="I854" s="122"/>
      <c r="J854" s="122"/>
      <c r="K854" s="122"/>
      <c r="L854" s="122"/>
      <c r="M854" s="123"/>
      <c r="N854" s="123"/>
      <c r="O854" s="122"/>
      <c r="P854" s="124"/>
      <c r="Q854" s="122"/>
      <c r="R854" s="122"/>
      <c r="S854" s="122"/>
      <c r="T854" s="122"/>
      <c r="U854" s="122"/>
      <c r="V854" s="124"/>
      <c r="W854" s="125"/>
      <c r="X854" s="122"/>
      <c r="Y854" s="122"/>
      <c r="Z854" s="122"/>
      <c r="AA854" s="126"/>
      <c r="AB854" s="122"/>
      <c r="AC854" s="122"/>
      <c r="AD854" s="127"/>
      <c r="AE854" s="127"/>
      <c r="AF854" s="127"/>
      <c r="AG854" s="127"/>
      <c r="AH854" s="124"/>
      <c r="AI854" s="127"/>
      <c r="AJ854" s="127"/>
      <c r="AK854" s="126"/>
      <c r="AL854" s="122"/>
      <c r="AM854" s="122"/>
      <c r="AN854" s="122"/>
      <c r="AO854" s="122"/>
      <c r="AP854" s="122"/>
      <c r="AQ854" s="124"/>
    </row>
    <row r="855" spans="1:43" ht="15.75" customHeight="1">
      <c r="A855" s="122"/>
      <c r="B855" s="122"/>
      <c r="C855" s="122"/>
      <c r="D855" s="122"/>
      <c r="E855" s="122"/>
      <c r="F855" s="122"/>
      <c r="G855" s="122"/>
      <c r="H855" s="122"/>
      <c r="I855" s="122"/>
      <c r="J855" s="122"/>
      <c r="K855" s="122"/>
      <c r="L855" s="122"/>
      <c r="M855" s="123"/>
      <c r="N855" s="123"/>
      <c r="O855" s="122"/>
      <c r="P855" s="124"/>
      <c r="Q855" s="122"/>
      <c r="R855" s="122"/>
      <c r="S855" s="122"/>
      <c r="T855" s="122"/>
      <c r="U855" s="122"/>
      <c r="V855" s="124"/>
      <c r="W855" s="125"/>
      <c r="X855" s="122"/>
      <c r="Y855" s="122"/>
      <c r="Z855" s="122"/>
      <c r="AA855" s="126"/>
      <c r="AB855" s="122"/>
      <c r="AC855" s="122"/>
      <c r="AD855" s="127"/>
      <c r="AE855" s="127"/>
      <c r="AF855" s="127"/>
      <c r="AG855" s="127"/>
      <c r="AH855" s="124"/>
      <c r="AI855" s="127"/>
      <c r="AJ855" s="127"/>
      <c r="AK855" s="126"/>
      <c r="AL855" s="122"/>
      <c r="AM855" s="122"/>
      <c r="AN855" s="122"/>
      <c r="AO855" s="122"/>
      <c r="AP855" s="122"/>
      <c r="AQ855" s="124"/>
    </row>
    <row r="856" spans="1:43" ht="15.75" customHeight="1">
      <c r="A856" s="122"/>
      <c r="B856" s="122"/>
      <c r="C856" s="122"/>
      <c r="D856" s="122"/>
      <c r="E856" s="122"/>
      <c r="F856" s="122"/>
      <c r="G856" s="122"/>
      <c r="H856" s="122"/>
      <c r="I856" s="122"/>
      <c r="J856" s="122"/>
      <c r="K856" s="122"/>
      <c r="L856" s="122"/>
      <c r="M856" s="123"/>
      <c r="N856" s="123"/>
      <c r="O856" s="122"/>
      <c r="P856" s="124"/>
      <c r="Q856" s="122"/>
      <c r="R856" s="122"/>
      <c r="S856" s="122"/>
      <c r="T856" s="122"/>
      <c r="U856" s="122"/>
      <c r="V856" s="124"/>
      <c r="W856" s="125"/>
      <c r="X856" s="122"/>
      <c r="Y856" s="122"/>
      <c r="Z856" s="122"/>
      <c r="AA856" s="126"/>
      <c r="AB856" s="122"/>
      <c r="AC856" s="122"/>
      <c r="AD856" s="127"/>
      <c r="AE856" s="127"/>
      <c r="AF856" s="127"/>
      <c r="AG856" s="127"/>
      <c r="AH856" s="124"/>
      <c r="AI856" s="127"/>
      <c r="AJ856" s="127"/>
      <c r="AK856" s="126"/>
      <c r="AL856" s="122"/>
      <c r="AM856" s="122"/>
      <c r="AN856" s="122"/>
      <c r="AO856" s="122"/>
      <c r="AP856" s="122"/>
      <c r="AQ856" s="124"/>
    </row>
    <row r="857" spans="1:43" ht="15.75" customHeight="1">
      <c r="A857" s="122"/>
      <c r="B857" s="122"/>
      <c r="C857" s="122"/>
      <c r="D857" s="122"/>
      <c r="E857" s="122"/>
      <c r="F857" s="122"/>
      <c r="G857" s="122"/>
      <c r="H857" s="122"/>
      <c r="I857" s="122"/>
      <c r="J857" s="122"/>
      <c r="K857" s="122"/>
      <c r="L857" s="122"/>
      <c r="M857" s="123"/>
      <c r="N857" s="123"/>
      <c r="O857" s="122"/>
      <c r="P857" s="124"/>
      <c r="Q857" s="122"/>
      <c r="R857" s="122"/>
      <c r="S857" s="122"/>
      <c r="T857" s="122"/>
      <c r="U857" s="122"/>
      <c r="V857" s="124"/>
      <c r="W857" s="125"/>
      <c r="X857" s="122"/>
      <c r="Y857" s="122"/>
      <c r="Z857" s="122"/>
      <c r="AA857" s="126"/>
      <c r="AB857" s="122"/>
      <c r="AC857" s="122"/>
      <c r="AD857" s="127"/>
      <c r="AE857" s="127"/>
      <c r="AF857" s="127"/>
      <c r="AG857" s="127"/>
      <c r="AH857" s="124"/>
      <c r="AI857" s="127"/>
      <c r="AJ857" s="127"/>
      <c r="AK857" s="126"/>
      <c r="AL857" s="122"/>
      <c r="AM857" s="122"/>
      <c r="AN857" s="122"/>
      <c r="AO857" s="122"/>
      <c r="AP857" s="122"/>
      <c r="AQ857" s="124"/>
    </row>
    <row r="858" spans="1:43" ht="15.75" customHeight="1">
      <c r="A858" s="122"/>
      <c r="B858" s="122"/>
      <c r="C858" s="122"/>
      <c r="D858" s="122"/>
      <c r="E858" s="122"/>
      <c r="F858" s="122"/>
      <c r="G858" s="122"/>
      <c r="H858" s="122"/>
      <c r="I858" s="122"/>
      <c r="J858" s="122"/>
      <c r="K858" s="122"/>
      <c r="L858" s="122"/>
      <c r="M858" s="123"/>
      <c r="N858" s="123"/>
      <c r="O858" s="122"/>
      <c r="P858" s="124"/>
      <c r="Q858" s="122"/>
      <c r="R858" s="122"/>
      <c r="S858" s="122"/>
      <c r="T858" s="122"/>
      <c r="U858" s="122"/>
      <c r="V858" s="124"/>
      <c r="W858" s="125"/>
      <c r="X858" s="122"/>
      <c r="Y858" s="122"/>
      <c r="Z858" s="122"/>
      <c r="AA858" s="126"/>
      <c r="AB858" s="122"/>
      <c r="AC858" s="122"/>
      <c r="AD858" s="127"/>
      <c r="AE858" s="127"/>
      <c r="AF858" s="127"/>
      <c r="AG858" s="127"/>
      <c r="AH858" s="124"/>
      <c r="AI858" s="127"/>
      <c r="AJ858" s="127"/>
      <c r="AK858" s="126"/>
      <c r="AL858" s="122"/>
      <c r="AM858" s="122"/>
      <c r="AN858" s="122"/>
      <c r="AO858" s="122"/>
      <c r="AP858" s="122"/>
      <c r="AQ858" s="124"/>
    </row>
    <row r="859" spans="1:43" ht="15.75" customHeight="1">
      <c r="A859" s="122"/>
      <c r="B859" s="122"/>
      <c r="C859" s="122"/>
      <c r="D859" s="122"/>
      <c r="E859" s="122"/>
      <c r="F859" s="122"/>
      <c r="G859" s="122"/>
      <c r="H859" s="122"/>
      <c r="I859" s="122"/>
      <c r="J859" s="122"/>
      <c r="K859" s="122"/>
      <c r="L859" s="122"/>
      <c r="M859" s="123"/>
      <c r="N859" s="123"/>
      <c r="O859" s="122"/>
      <c r="P859" s="124"/>
      <c r="Q859" s="122"/>
      <c r="R859" s="122"/>
      <c r="S859" s="122"/>
      <c r="T859" s="122"/>
      <c r="U859" s="122"/>
      <c r="V859" s="124"/>
      <c r="W859" s="125"/>
      <c r="X859" s="122"/>
      <c r="Y859" s="122"/>
      <c r="Z859" s="122"/>
      <c r="AA859" s="126"/>
      <c r="AB859" s="122"/>
      <c r="AC859" s="122"/>
      <c r="AD859" s="127"/>
      <c r="AE859" s="127"/>
      <c r="AF859" s="127"/>
      <c r="AG859" s="127"/>
      <c r="AH859" s="124"/>
      <c r="AI859" s="127"/>
      <c r="AJ859" s="127"/>
      <c r="AK859" s="126"/>
      <c r="AL859" s="122"/>
      <c r="AM859" s="122"/>
      <c r="AN859" s="122"/>
      <c r="AO859" s="122"/>
      <c r="AP859" s="122"/>
      <c r="AQ859" s="124"/>
    </row>
    <row r="860" spans="1:43" ht="15.75" customHeight="1">
      <c r="A860" s="122"/>
      <c r="B860" s="122"/>
      <c r="C860" s="122"/>
      <c r="D860" s="122"/>
      <c r="E860" s="122"/>
      <c r="F860" s="122"/>
      <c r="G860" s="122"/>
      <c r="H860" s="122"/>
      <c r="I860" s="122"/>
      <c r="J860" s="122"/>
      <c r="K860" s="122"/>
      <c r="L860" s="122"/>
      <c r="M860" s="123"/>
      <c r="N860" s="123"/>
      <c r="O860" s="122"/>
      <c r="P860" s="124"/>
      <c r="Q860" s="122"/>
      <c r="R860" s="122"/>
      <c r="S860" s="122"/>
      <c r="T860" s="122"/>
      <c r="U860" s="122"/>
      <c r="V860" s="124"/>
      <c r="W860" s="125"/>
      <c r="X860" s="122"/>
      <c r="Y860" s="122"/>
      <c r="Z860" s="122"/>
      <c r="AA860" s="126"/>
      <c r="AB860" s="122"/>
      <c r="AC860" s="122"/>
      <c r="AD860" s="127"/>
      <c r="AE860" s="127"/>
      <c r="AF860" s="127"/>
      <c r="AG860" s="127"/>
      <c r="AH860" s="124"/>
      <c r="AI860" s="127"/>
      <c r="AJ860" s="127"/>
      <c r="AK860" s="126"/>
      <c r="AL860" s="122"/>
      <c r="AM860" s="122"/>
      <c r="AN860" s="122"/>
      <c r="AO860" s="122"/>
      <c r="AP860" s="122"/>
      <c r="AQ860" s="124"/>
    </row>
    <row r="861" spans="1:43" ht="15.75" customHeight="1">
      <c r="A861" s="122"/>
      <c r="B861" s="122"/>
      <c r="C861" s="122"/>
      <c r="D861" s="122"/>
      <c r="E861" s="122"/>
      <c r="F861" s="122"/>
      <c r="G861" s="122"/>
      <c r="H861" s="122"/>
      <c r="I861" s="122"/>
      <c r="J861" s="122"/>
      <c r="K861" s="122"/>
      <c r="L861" s="122"/>
      <c r="M861" s="123"/>
      <c r="N861" s="123"/>
      <c r="O861" s="122"/>
      <c r="P861" s="124"/>
      <c r="Q861" s="122"/>
      <c r="R861" s="122"/>
      <c r="S861" s="122"/>
      <c r="T861" s="122"/>
      <c r="U861" s="122"/>
      <c r="V861" s="124"/>
      <c r="W861" s="125"/>
      <c r="X861" s="122"/>
      <c r="Y861" s="122"/>
      <c r="Z861" s="122"/>
      <c r="AA861" s="126"/>
      <c r="AB861" s="122"/>
      <c r="AC861" s="122"/>
      <c r="AD861" s="127"/>
      <c r="AE861" s="127"/>
      <c r="AF861" s="127"/>
      <c r="AG861" s="127"/>
      <c r="AH861" s="124"/>
      <c r="AI861" s="127"/>
      <c r="AJ861" s="127"/>
      <c r="AK861" s="126"/>
      <c r="AL861" s="122"/>
      <c r="AM861" s="122"/>
      <c r="AN861" s="122"/>
      <c r="AO861" s="122"/>
      <c r="AP861" s="122"/>
      <c r="AQ861" s="124"/>
    </row>
    <row r="862" spans="1:43" ht="15.75" customHeight="1">
      <c r="A862" s="122"/>
      <c r="B862" s="122"/>
      <c r="C862" s="122"/>
      <c r="D862" s="122"/>
      <c r="E862" s="122"/>
      <c r="F862" s="122"/>
      <c r="G862" s="122"/>
      <c r="H862" s="122"/>
      <c r="I862" s="122"/>
      <c r="J862" s="122"/>
      <c r="K862" s="122"/>
      <c r="L862" s="122"/>
      <c r="M862" s="123"/>
      <c r="N862" s="123"/>
      <c r="O862" s="122"/>
      <c r="P862" s="124"/>
      <c r="Q862" s="122"/>
      <c r="R862" s="122"/>
      <c r="S862" s="122"/>
      <c r="T862" s="122"/>
      <c r="U862" s="122"/>
      <c r="V862" s="124"/>
      <c r="W862" s="125"/>
      <c r="X862" s="122"/>
      <c r="Y862" s="122"/>
      <c r="Z862" s="122"/>
      <c r="AA862" s="126"/>
      <c r="AB862" s="122"/>
      <c r="AC862" s="122"/>
      <c r="AD862" s="127"/>
      <c r="AE862" s="127"/>
      <c r="AF862" s="127"/>
      <c r="AG862" s="127"/>
      <c r="AH862" s="124"/>
      <c r="AI862" s="127"/>
      <c r="AJ862" s="127"/>
      <c r="AK862" s="126"/>
      <c r="AL862" s="122"/>
      <c r="AM862" s="122"/>
      <c r="AN862" s="122"/>
      <c r="AO862" s="122"/>
      <c r="AP862" s="122"/>
      <c r="AQ862" s="124"/>
    </row>
    <row r="863" spans="1:43" ht="15.75" customHeight="1">
      <c r="A863" s="122"/>
      <c r="B863" s="122"/>
      <c r="C863" s="122"/>
      <c r="D863" s="122"/>
      <c r="E863" s="122"/>
      <c r="F863" s="122"/>
      <c r="G863" s="122"/>
      <c r="H863" s="122"/>
      <c r="I863" s="122"/>
      <c r="J863" s="122"/>
      <c r="K863" s="122"/>
      <c r="L863" s="122"/>
      <c r="M863" s="123"/>
      <c r="N863" s="123"/>
      <c r="O863" s="122"/>
      <c r="P863" s="124"/>
      <c r="Q863" s="122"/>
      <c r="R863" s="122"/>
      <c r="S863" s="122"/>
      <c r="T863" s="122"/>
      <c r="U863" s="122"/>
      <c r="V863" s="124"/>
      <c r="W863" s="125"/>
      <c r="X863" s="122"/>
      <c r="Y863" s="122"/>
      <c r="Z863" s="122"/>
      <c r="AA863" s="126"/>
      <c r="AB863" s="122"/>
      <c r="AC863" s="122"/>
      <c r="AD863" s="127"/>
      <c r="AE863" s="127"/>
      <c r="AF863" s="127"/>
      <c r="AG863" s="127"/>
      <c r="AH863" s="124"/>
      <c r="AI863" s="127"/>
      <c r="AJ863" s="127"/>
      <c r="AK863" s="126"/>
      <c r="AL863" s="122"/>
      <c r="AM863" s="122"/>
      <c r="AN863" s="122"/>
      <c r="AO863" s="122"/>
      <c r="AP863" s="122"/>
      <c r="AQ863" s="124"/>
    </row>
    <row r="864" spans="1:43" ht="15.75" customHeight="1">
      <c r="A864" s="122"/>
      <c r="B864" s="122"/>
      <c r="C864" s="122"/>
      <c r="D864" s="122"/>
      <c r="E864" s="122"/>
      <c r="F864" s="122"/>
      <c r="G864" s="122"/>
      <c r="H864" s="122"/>
      <c r="I864" s="122"/>
      <c r="J864" s="122"/>
      <c r="K864" s="122"/>
      <c r="L864" s="122"/>
      <c r="M864" s="123"/>
      <c r="N864" s="123"/>
      <c r="O864" s="122"/>
      <c r="P864" s="124"/>
      <c r="Q864" s="122"/>
      <c r="R864" s="122"/>
      <c r="S864" s="122"/>
      <c r="T864" s="122"/>
      <c r="U864" s="122"/>
      <c r="V864" s="124"/>
      <c r="W864" s="125"/>
      <c r="X864" s="122"/>
      <c r="Y864" s="122"/>
      <c r="Z864" s="122"/>
      <c r="AA864" s="126"/>
      <c r="AB864" s="122"/>
      <c r="AC864" s="122"/>
      <c r="AD864" s="127"/>
      <c r="AE864" s="127"/>
      <c r="AF864" s="127"/>
      <c r="AG864" s="127"/>
      <c r="AH864" s="124"/>
      <c r="AI864" s="127"/>
      <c r="AJ864" s="127"/>
      <c r="AK864" s="126"/>
      <c r="AL864" s="122"/>
      <c r="AM864" s="122"/>
      <c r="AN864" s="122"/>
      <c r="AO864" s="122"/>
      <c r="AP864" s="122"/>
      <c r="AQ864" s="124"/>
    </row>
    <row r="865" spans="1:43" ht="15.75" customHeight="1">
      <c r="A865" s="122"/>
      <c r="B865" s="122"/>
      <c r="C865" s="122"/>
      <c r="D865" s="122"/>
      <c r="E865" s="122"/>
      <c r="F865" s="122"/>
      <c r="G865" s="122"/>
      <c r="H865" s="122"/>
      <c r="I865" s="122"/>
      <c r="J865" s="122"/>
      <c r="K865" s="122"/>
      <c r="L865" s="122"/>
      <c r="M865" s="123"/>
      <c r="N865" s="123"/>
      <c r="O865" s="122"/>
      <c r="P865" s="124"/>
      <c r="Q865" s="122"/>
      <c r="R865" s="122"/>
      <c r="S865" s="122"/>
      <c r="T865" s="122"/>
      <c r="U865" s="122"/>
      <c r="V865" s="124"/>
      <c r="W865" s="125"/>
      <c r="X865" s="122"/>
      <c r="Y865" s="122"/>
      <c r="Z865" s="122"/>
      <c r="AA865" s="126"/>
      <c r="AB865" s="122"/>
      <c r="AC865" s="122"/>
      <c r="AD865" s="127"/>
      <c r="AE865" s="127"/>
      <c r="AF865" s="127"/>
      <c r="AG865" s="127"/>
      <c r="AH865" s="124"/>
      <c r="AI865" s="127"/>
      <c r="AJ865" s="127"/>
      <c r="AK865" s="126"/>
      <c r="AL865" s="122"/>
      <c r="AM865" s="122"/>
      <c r="AN865" s="122"/>
      <c r="AO865" s="122"/>
      <c r="AP865" s="122"/>
      <c r="AQ865" s="124"/>
    </row>
    <row r="866" spans="1:43" ht="15.75" customHeight="1">
      <c r="A866" s="122"/>
      <c r="B866" s="122"/>
      <c r="C866" s="122"/>
      <c r="D866" s="122"/>
      <c r="E866" s="122"/>
      <c r="F866" s="122"/>
      <c r="G866" s="122"/>
      <c r="H866" s="122"/>
      <c r="I866" s="122"/>
      <c r="J866" s="122"/>
      <c r="K866" s="122"/>
      <c r="L866" s="122"/>
      <c r="M866" s="123"/>
      <c r="N866" s="123"/>
      <c r="O866" s="122"/>
      <c r="P866" s="124"/>
      <c r="Q866" s="122"/>
      <c r="R866" s="122"/>
      <c r="S866" s="122"/>
      <c r="T866" s="122"/>
      <c r="U866" s="122"/>
      <c r="V866" s="124"/>
      <c r="W866" s="125"/>
      <c r="X866" s="122"/>
      <c r="Y866" s="122"/>
      <c r="Z866" s="122"/>
      <c r="AA866" s="126"/>
      <c r="AB866" s="122"/>
      <c r="AC866" s="122"/>
      <c r="AD866" s="127"/>
      <c r="AE866" s="127"/>
      <c r="AF866" s="127"/>
      <c r="AG866" s="127"/>
      <c r="AH866" s="124"/>
      <c r="AI866" s="127"/>
      <c r="AJ866" s="127"/>
      <c r="AK866" s="126"/>
      <c r="AL866" s="122"/>
      <c r="AM866" s="122"/>
      <c r="AN866" s="122"/>
      <c r="AO866" s="122"/>
      <c r="AP866" s="122"/>
      <c r="AQ866" s="124"/>
    </row>
    <row r="867" spans="1:43" ht="15.75" customHeight="1">
      <c r="A867" s="122"/>
      <c r="B867" s="122"/>
      <c r="C867" s="122"/>
      <c r="D867" s="122"/>
      <c r="E867" s="122"/>
      <c r="F867" s="122"/>
      <c r="G867" s="122"/>
      <c r="H867" s="122"/>
      <c r="I867" s="122"/>
      <c r="J867" s="122"/>
      <c r="K867" s="122"/>
      <c r="L867" s="122"/>
      <c r="M867" s="123"/>
      <c r="N867" s="123"/>
      <c r="O867" s="122"/>
      <c r="P867" s="124"/>
      <c r="Q867" s="122"/>
      <c r="R867" s="122"/>
      <c r="S867" s="122"/>
      <c r="T867" s="122"/>
      <c r="U867" s="122"/>
      <c r="V867" s="124"/>
      <c r="W867" s="125"/>
      <c r="X867" s="122"/>
      <c r="Y867" s="122"/>
      <c r="Z867" s="122"/>
      <c r="AA867" s="126"/>
      <c r="AB867" s="122"/>
      <c r="AC867" s="122"/>
      <c r="AD867" s="127"/>
      <c r="AE867" s="127"/>
      <c r="AF867" s="127"/>
      <c r="AG867" s="127"/>
      <c r="AH867" s="124"/>
      <c r="AI867" s="127"/>
      <c r="AJ867" s="127"/>
      <c r="AK867" s="126"/>
      <c r="AL867" s="122"/>
      <c r="AM867" s="122"/>
      <c r="AN867" s="122"/>
      <c r="AO867" s="122"/>
      <c r="AP867" s="122"/>
      <c r="AQ867" s="124"/>
    </row>
    <row r="868" spans="1:43" ht="15.75" customHeight="1">
      <c r="A868" s="122"/>
      <c r="B868" s="122"/>
      <c r="C868" s="122"/>
      <c r="D868" s="122"/>
      <c r="E868" s="122"/>
      <c r="F868" s="122"/>
      <c r="G868" s="122"/>
      <c r="H868" s="122"/>
      <c r="I868" s="122"/>
      <c r="J868" s="122"/>
      <c r="K868" s="122"/>
      <c r="L868" s="122"/>
      <c r="M868" s="123"/>
      <c r="N868" s="123"/>
      <c r="O868" s="122"/>
      <c r="P868" s="124"/>
      <c r="Q868" s="122"/>
      <c r="R868" s="122"/>
      <c r="S868" s="122"/>
      <c r="T868" s="122"/>
      <c r="U868" s="122"/>
      <c r="V868" s="124"/>
      <c r="W868" s="125"/>
      <c r="X868" s="122"/>
      <c r="Y868" s="122"/>
      <c r="Z868" s="122"/>
      <c r="AA868" s="126"/>
      <c r="AB868" s="122"/>
      <c r="AC868" s="122"/>
      <c r="AD868" s="127"/>
      <c r="AE868" s="127"/>
      <c r="AF868" s="127"/>
      <c r="AG868" s="127"/>
      <c r="AH868" s="124"/>
      <c r="AI868" s="127"/>
      <c r="AJ868" s="127"/>
      <c r="AK868" s="126"/>
      <c r="AL868" s="122"/>
      <c r="AM868" s="122"/>
      <c r="AN868" s="122"/>
      <c r="AO868" s="122"/>
      <c r="AP868" s="122"/>
      <c r="AQ868" s="124"/>
    </row>
    <row r="869" spans="1:43" ht="15.75" customHeight="1">
      <c r="A869" s="122"/>
      <c r="B869" s="122"/>
      <c r="C869" s="122"/>
      <c r="D869" s="122"/>
      <c r="E869" s="122"/>
      <c r="F869" s="122"/>
      <c r="G869" s="122"/>
      <c r="H869" s="122"/>
      <c r="I869" s="122"/>
      <c r="J869" s="122"/>
      <c r="K869" s="122"/>
      <c r="L869" s="122"/>
      <c r="M869" s="123"/>
      <c r="N869" s="123"/>
      <c r="O869" s="122"/>
      <c r="P869" s="124"/>
      <c r="Q869" s="122"/>
      <c r="R869" s="122"/>
      <c r="S869" s="122"/>
      <c r="T869" s="122"/>
      <c r="U869" s="122"/>
      <c r="V869" s="124"/>
      <c r="W869" s="125"/>
      <c r="X869" s="122"/>
      <c r="Y869" s="122"/>
      <c r="Z869" s="122"/>
      <c r="AA869" s="126"/>
      <c r="AB869" s="122"/>
      <c r="AC869" s="122"/>
      <c r="AD869" s="127"/>
      <c r="AE869" s="127"/>
      <c r="AF869" s="127"/>
      <c r="AG869" s="127"/>
      <c r="AH869" s="124"/>
      <c r="AI869" s="127"/>
      <c r="AJ869" s="127"/>
      <c r="AK869" s="126"/>
      <c r="AL869" s="122"/>
      <c r="AM869" s="122"/>
      <c r="AN869" s="122"/>
      <c r="AO869" s="122"/>
      <c r="AP869" s="122"/>
      <c r="AQ869" s="124"/>
    </row>
    <row r="870" spans="1:43" ht="15.75" customHeight="1">
      <c r="A870" s="122"/>
      <c r="B870" s="122"/>
      <c r="C870" s="122"/>
      <c r="D870" s="122"/>
      <c r="E870" s="122"/>
      <c r="F870" s="122"/>
      <c r="G870" s="122"/>
      <c r="H870" s="122"/>
      <c r="I870" s="122"/>
      <c r="J870" s="122"/>
      <c r="K870" s="122"/>
      <c r="L870" s="122"/>
      <c r="M870" s="123"/>
      <c r="N870" s="123"/>
      <c r="O870" s="122"/>
      <c r="P870" s="124"/>
      <c r="Q870" s="122"/>
      <c r="R870" s="122"/>
      <c r="S870" s="122"/>
      <c r="T870" s="122"/>
      <c r="U870" s="122"/>
      <c r="V870" s="124"/>
      <c r="W870" s="125"/>
      <c r="X870" s="122"/>
      <c r="Y870" s="122"/>
      <c r="Z870" s="122"/>
      <c r="AA870" s="126"/>
      <c r="AB870" s="122"/>
      <c r="AC870" s="122"/>
      <c r="AD870" s="127"/>
      <c r="AE870" s="127"/>
      <c r="AF870" s="127"/>
      <c r="AG870" s="127"/>
      <c r="AH870" s="124"/>
      <c r="AI870" s="127"/>
      <c r="AJ870" s="127"/>
      <c r="AK870" s="126"/>
      <c r="AL870" s="122"/>
      <c r="AM870" s="122"/>
      <c r="AN870" s="122"/>
      <c r="AO870" s="122"/>
      <c r="AP870" s="122"/>
      <c r="AQ870" s="124"/>
    </row>
    <row r="871" spans="1:43" ht="15.75" customHeight="1">
      <c r="A871" s="122"/>
      <c r="B871" s="122"/>
      <c r="C871" s="122"/>
      <c r="D871" s="122"/>
      <c r="E871" s="122"/>
      <c r="F871" s="122"/>
      <c r="G871" s="122"/>
      <c r="H871" s="122"/>
      <c r="I871" s="122"/>
      <c r="J871" s="122"/>
      <c r="K871" s="122"/>
      <c r="L871" s="122"/>
      <c r="M871" s="123"/>
      <c r="N871" s="123"/>
      <c r="O871" s="122"/>
      <c r="P871" s="124"/>
      <c r="Q871" s="122"/>
      <c r="R871" s="122"/>
      <c r="S871" s="122"/>
      <c r="T871" s="122"/>
      <c r="U871" s="122"/>
      <c r="V871" s="124"/>
      <c r="W871" s="125"/>
      <c r="X871" s="122"/>
      <c r="Y871" s="122"/>
      <c r="Z871" s="122"/>
      <c r="AA871" s="126"/>
      <c r="AB871" s="122"/>
      <c r="AC871" s="122"/>
      <c r="AD871" s="127"/>
      <c r="AE871" s="127"/>
      <c r="AF871" s="127"/>
      <c r="AG871" s="127"/>
      <c r="AH871" s="124"/>
      <c r="AI871" s="127"/>
      <c r="AJ871" s="127"/>
      <c r="AK871" s="126"/>
      <c r="AL871" s="122"/>
      <c r="AM871" s="122"/>
      <c r="AN871" s="122"/>
      <c r="AO871" s="122"/>
      <c r="AP871" s="122"/>
      <c r="AQ871" s="124"/>
    </row>
    <row r="872" spans="1:43" ht="15.75" customHeight="1">
      <c r="A872" s="122"/>
      <c r="B872" s="122"/>
      <c r="C872" s="122"/>
      <c r="D872" s="122"/>
      <c r="E872" s="122"/>
      <c r="F872" s="122"/>
      <c r="G872" s="122"/>
      <c r="H872" s="122"/>
      <c r="I872" s="122"/>
      <c r="J872" s="122"/>
      <c r="K872" s="122"/>
      <c r="L872" s="122"/>
      <c r="M872" s="123"/>
      <c r="N872" s="123"/>
      <c r="O872" s="122"/>
      <c r="P872" s="124"/>
      <c r="Q872" s="122"/>
      <c r="R872" s="122"/>
      <c r="S872" s="122"/>
      <c r="T872" s="122"/>
      <c r="U872" s="122"/>
      <c r="V872" s="124"/>
      <c r="W872" s="125"/>
      <c r="X872" s="122"/>
      <c r="Y872" s="122"/>
      <c r="Z872" s="122"/>
      <c r="AA872" s="126"/>
      <c r="AB872" s="122"/>
      <c r="AC872" s="122"/>
      <c r="AD872" s="127"/>
      <c r="AE872" s="127"/>
      <c r="AF872" s="127"/>
      <c r="AG872" s="127"/>
      <c r="AH872" s="124"/>
      <c r="AI872" s="127"/>
      <c r="AJ872" s="127"/>
      <c r="AK872" s="126"/>
      <c r="AL872" s="122"/>
      <c r="AM872" s="122"/>
      <c r="AN872" s="122"/>
      <c r="AO872" s="122"/>
      <c r="AP872" s="122"/>
      <c r="AQ872" s="124"/>
    </row>
    <row r="873" spans="1:43" ht="15.75" customHeight="1">
      <c r="A873" s="122"/>
      <c r="B873" s="122"/>
      <c r="C873" s="122"/>
      <c r="D873" s="122"/>
      <c r="E873" s="122"/>
      <c r="F873" s="122"/>
      <c r="G873" s="122"/>
      <c r="H873" s="122"/>
      <c r="I873" s="122"/>
      <c r="J873" s="122"/>
      <c r="K873" s="122"/>
      <c r="L873" s="122"/>
      <c r="M873" s="123"/>
      <c r="N873" s="123"/>
      <c r="O873" s="122"/>
      <c r="P873" s="124"/>
      <c r="Q873" s="122"/>
      <c r="R873" s="122"/>
      <c r="S873" s="122"/>
      <c r="T873" s="122"/>
      <c r="U873" s="122"/>
      <c r="V873" s="124"/>
      <c r="W873" s="125"/>
      <c r="X873" s="122"/>
      <c r="Y873" s="122"/>
      <c r="Z873" s="122"/>
      <c r="AA873" s="126"/>
      <c r="AB873" s="122"/>
      <c r="AC873" s="122"/>
      <c r="AD873" s="127"/>
      <c r="AE873" s="127"/>
      <c r="AF873" s="127"/>
      <c r="AG873" s="127"/>
      <c r="AH873" s="124"/>
      <c r="AI873" s="127"/>
      <c r="AJ873" s="127"/>
      <c r="AK873" s="126"/>
      <c r="AL873" s="122"/>
      <c r="AM873" s="122"/>
      <c r="AN873" s="122"/>
      <c r="AO873" s="122"/>
      <c r="AP873" s="122"/>
      <c r="AQ873" s="124"/>
    </row>
    <row r="874" spans="1:43" ht="15.75" customHeight="1">
      <c r="A874" s="122"/>
      <c r="B874" s="122"/>
      <c r="C874" s="122"/>
      <c r="D874" s="122"/>
      <c r="E874" s="122"/>
      <c r="F874" s="122"/>
      <c r="G874" s="122"/>
      <c r="H874" s="122"/>
      <c r="I874" s="122"/>
      <c r="J874" s="122"/>
      <c r="K874" s="122"/>
      <c r="L874" s="122"/>
      <c r="M874" s="123"/>
      <c r="N874" s="123"/>
      <c r="O874" s="122"/>
      <c r="P874" s="124"/>
      <c r="Q874" s="122"/>
      <c r="R874" s="122"/>
      <c r="S874" s="122"/>
      <c r="T874" s="122"/>
      <c r="U874" s="122"/>
      <c r="V874" s="124"/>
      <c r="W874" s="125"/>
      <c r="X874" s="122"/>
      <c r="Y874" s="122"/>
      <c r="Z874" s="122"/>
      <c r="AA874" s="126"/>
      <c r="AB874" s="122"/>
      <c r="AC874" s="122"/>
      <c r="AD874" s="127"/>
      <c r="AE874" s="127"/>
      <c r="AF874" s="127"/>
      <c r="AG874" s="127"/>
      <c r="AH874" s="124"/>
      <c r="AI874" s="127"/>
      <c r="AJ874" s="127"/>
      <c r="AK874" s="126"/>
      <c r="AL874" s="122"/>
      <c r="AM874" s="122"/>
      <c r="AN874" s="122"/>
      <c r="AO874" s="122"/>
      <c r="AP874" s="122"/>
      <c r="AQ874" s="124"/>
    </row>
    <row r="875" spans="1:43" ht="15.75" customHeight="1">
      <c r="A875" s="122"/>
      <c r="B875" s="122"/>
      <c r="C875" s="122"/>
      <c r="D875" s="122"/>
      <c r="E875" s="122"/>
      <c r="F875" s="122"/>
      <c r="G875" s="122"/>
      <c r="H875" s="122"/>
      <c r="I875" s="122"/>
      <c r="J875" s="122"/>
      <c r="K875" s="122"/>
      <c r="L875" s="122"/>
      <c r="M875" s="123"/>
      <c r="N875" s="123"/>
      <c r="O875" s="122"/>
      <c r="P875" s="124"/>
      <c r="Q875" s="122"/>
      <c r="R875" s="122"/>
      <c r="S875" s="122"/>
      <c r="T875" s="122"/>
      <c r="U875" s="122"/>
      <c r="V875" s="124"/>
      <c r="W875" s="125"/>
      <c r="X875" s="122"/>
      <c r="Y875" s="122"/>
      <c r="Z875" s="122"/>
      <c r="AA875" s="126"/>
      <c r="AB875" s="122"/>
      <c r="AC875" s="122"/>
      <c r="AD875" s="127"/>
      <c r="AE875" s="127"/>
      <c r="AF875" s="127"/>
      <c r="AG875" s="127"/>
      <c r="AH875" s="124"/>
      <c r="AI875" s="127"/>
      <c r="AJ875" s="127"/>
      <c r="AK875" s="126"/>
      <c r="AL875" s="122"/>
      <c r="AM875" s="122"/>
      <c r="AN875" s="122"/>
      <c r="AO875" s="122"/>
      <c r="AP875" s="122"/>
      <c r="AQ875" s="124"/>
    </row>
    <row r="876" spans="1:43" ht="15.75" customHeight="1">
      <c r="A876" s="122"/>
      <c r="B876" s="122"/>
      <c r="C876" s="122"/>
      <c r="D876" s="122"/>
      <c r="E876" s="122"/>
      <c r="F876" s="122"/>
      <c r="G876" s="122"/>
      <c r="H876" s="122"/>
      <c r="I876" s="122"/>
      <c r="J876" s="122"/>
      <c r="K876" s="122"/>
      <c r="L876" s="122"/>
      <c r="M876" s="123"/>
      <c r="N876" s="123"/>
      <c r="O876" s="122"/>
      <c r="P876" s="124"/>
      <c r="Q876" s="122"/>
      <c r="R876" s="122"/>
      <c r="S876" s="122"/>
      <c r="T876" s="122"/>
      <c r="U876" s="122"/>
      <c r="V876" s="124"/>
      <c r="W876" s="125"/>
      <c r="X876" s="122"/>
      <c r="Y876" s="122"/>
      <c r="Z876" s="122"/>
      <c r="AA876" s="126"/>
      <c r="AB876" s="122"/>
      <c r="AC876" s="122"/>
      <c r="AD876" s="127"/>
      <c r="AE876" s="127"/>
      <c r="AF876" s="127"/>
      <c r="AG876" s="127"/>
      <c r="AH876" s="124"/>
      <c r="AI876" s="127"/>
      <c r="AJ876" s="127"/>
      <c r="AK876" s="126"/>
      <c r="AL876" s="122"/>
      <c r="AM876" s="122"/>
      <c r="AN876" s="122"/>
      <c r="AO876" s="122"/>
      <c r="AP876" s="122"/>
      <c r="AQ876" s="124"/>
    </row>
    <row r="877" spans="1:43" ht="15.75" customHeight="1">
      <c r="A877" s="122"/>
      <c r="B877" s="122"/>
      <c r="C877" s="122"/>
      <c r="D877" s="122"/>
      <c r="E877" s="122"/>
      <c r="F877" s="122"/>
      <c r="G877" s="122"/>
      <c r="H877" s="122"/>
      <c r="I877" s="122"/>
      <c r="J877" s="122"/>
      <c r="K877" s="122"/>
      <c r="L877" s="122"/>
      <c r="M877" s="123"/>
      <c r="N877" s="123"/>
      <c r="O877" s="122"/>
      <c r="P877" s="124"/>
      <c r="Q877" s="122"/>
      <c r="R877" s="122"/>
      <c r="S877" s="122"/>
      <c r="T877" s="122"/>
      <c r="U877" s="122"/>
      <c r="V877" s="124"/>
      <c r="W877" s="125"/>
      <c r="X877" s="122"/>
      <c r="Y877" s="122"/>
      <c r="Z877" s="122"/>
      <c r="AA877" s="126"/>
      <c r="AB877" s="122"/>
      <c r="AC877" s="122"/>
      <c r="AD877" s="127"/>
      <c r="AE877" s="127"/>
      <c r="AF877" s="127"/>
      <c r="AG877" s="127"/>
      <c r="AH877" s="124"/>
      <c r="AI877" s="127"/>
      <c r="AJ877" s="127"/>
      <c r="AK877" s="126"/>
      <c r="AL877" s="122"/>
      <c r="AM877" s="122"/>
      <c r="AN877" s="122"/>
      <c r="AO877" s="122"/>
      <c r="AP877" s="122"/>
      <c r="AQ877" s="124"/>
    </row>
    <row r="878" spans="1:43" ht="15.75" customHeight="1">
      <c r="A878" s="122"/>
      <c r="B878" s="122"/>
      <c r="C878" s="122"/>
      <c r="D878" s="122"/>
      <c r="E878" s="122"/>
      <c r="F878" s="122"/>
      <c r="G878" s="122"/>
      <c r="H878" s="122"/>
      <c r="I878" s="122"/>
      <c r="J878" s="122"/>
      <c r="K878" s="122"/>
      <c r="L878" s="122"/>
      <c r="M878" s="123"/>
      <c r="N878" s="123"/>
      <c r="O878" s="122"/>
      <c r="P878" s="124"/>
      <c r="Q878" s="122"/>
      <c r="R878" s="122"/>
      <c r="S878" s="122"/>
      <c r="T878" s="122"/>
      <c r="U878" s="122"/>
      <c r="V878" s="124"/>
      <c r="W878" s="125"/>
      <c r="X878" s="122"/>
      <c r="Y878" s="122"/>
      <c r="Z878" s="122"/>
      <c r="AA878" s="126"/>
      <c r="AB878" s="122"/>
      <c r="AC878" s="122"/>
      <c r="AD878" s="127"/>
      <c r="AE878" s="127"/>
      <c r="AF878" s="127"/>
      <c r="AG878" s="127"/>
      <c r="AH878" s="124"/>
      <c r="AI878" s="127"/>
      <c r="AJ878" s="127"/>
      <c r="AK878" s="126"/>
      <c r="AL878" s="122"/>
      <c r="AM878" s="122"/>
      <c r="AN878" s="122"/>
      <c r="AO878" s="122"/>
      <c r="AP878" s="122"/>
      <c r="AQ878" s="124"/>
    </row>
    <row r="879" spans="1:43" ht="15.75" customHeight="1">
      <c r="A879" s="122"/>
      <c r="B879" s="122"/>
      <c r="C879" s="122"/>
      <c r="D879" s="122"/>
      <c r="E879" s="122"/>
      <c r="F879" s="122"/>
      <c r="G879" s="122"/>
      <c r="H879" s="122"/>
      <c r="I879" s="122"/>
      <c r="J879" s="122"/>
      <c r="K879" s="122"/>
      <c r="L879" s="122"/>
      <c r="M879" s="123"/>
      <c r="N879" s="123"/>
      <c r="O879" s="122"/>
      <c r="P879" s="124"/>
      <c r="Q879" s="122"/>
      <c r="R879" s="122"/>
      <c r="S879" s="122"/>
      <c r="T879" s="122"/>
      <c r="U879" s="122"/>
      <c r="V879" s="124"/>
      <c r="W879" s="125"/>
      <c r="X879" s="122"/>
      <c r="Y879" s="122"/>
      <c r="Z879" s="122"/>
      <c r="AA879" s="126"/>
      <c r="AB879" s="122"/>
      <c r="AC879" s="122"/>
      <c r="AD879" s="127"/>
      <c r="AE879" s="127"/>
      <c r="AF879" s="127"/>
      <c r="AG879" s="127"/>
      <c r="AH879" s="124"/>
      <c r="AI879" s="127"/>
      <c r="AJ879" s="127"/>
      <c r="AK879" s="126"/>
      <c r="AL879" s="122"/>
      <c r="AM879" s="122"/>
      <c r="AN879" s="122"/>
      <c r="AO879" s="122"/>
      <c r="AP879" s="122"/>
      <c r="AQ879" s="124"/>
    </row>
    <row r="880" spans="1:43" ht="15.75" customHeight="1">
      <c r="A880" s="122"/>
      <c r="B880" s="122"/>
      <c r="C880" s="122"/>
      <c r="D880" s="122"/>
      <c r="E880" s="122"/>
      <c r="F880" s="122"/>
      <c r="G880" s="122"/>
      <c r="H880" s="122"/>
      <c r="I880" s="122"/>
      <c r="J880" s="122"/>
      <c r="K880" s="122"/>
      <c r="L880" s="122"/>
      <c r="M880" s="123"/>
      <c r="N880" s="123"/>
      <c r="O880" s="122"/>
      <c r="P880" s="124"/>
      <c r="Q880" s="122"/>
      <c r="R880" s="122"/>
      <c r="S880" s="122"/>
      <c r="T880" s="122"/>
      <c r="U880" s="122"/>
      <c r="V880" s="124"/>
      <c r="W880" s="125"/>
      <c r="X880" s="122"/>
      <c r="Y880" s="122"/>
      <c r="Z880" s="122"/>
      <c r="AA880" s="126"/>
      <c r="AB880" s="122"/>
      <c r="AC880" s="122"/>
      <c r="AD880" s="127"/>
      <c r="AE880" s="127"/>
      <c r="AF880" s="127"/>
      <c r="AG880" s="127"/>
      <c r="AH880" s="124"/>
      <c r="AI880" s="127"/>
      <c r="AJ880" s="127"/>
      <c r="AK880" s="126"/>
      <c r="AL880" s="122"/>
      <c r="AM880" s="122"/>
      <c r="AN880" s="122"/>
      <c r="AO880" s="122"/>
      <c r="AP880" s="122"/>
      <c r="AQ880" s="124"/>
    </row>
    <row r="881" spans="1:43" ht="15.75" customHeight="1">
      <c r="A881" s="122"/>
      <c r="B881" s="122"/>
      <c r="C881" s="122"/>
      <c r="D881" s="122"/>
      <c r="E881" s="122"/>
      <c r="F881" s="122"/>
      <c r="G881" s="122"/>
      <c r="H881" s="122"/>
      <c r="I881" s="122"/>
      <c r="J881" s="122"/>
      <c r="K881" s="122"/>
      <c r="L881" s="122"/>
      <c r="M881" s="123"/>
      <c r="N881" s="123"/>
      <c r="O881" s="122"/>
      <c r="P881" s="124"/>
      <c r="Q881" s="122"/>
      <c r="R881" s="122"/>
      <c r="S881" s="122"/>
      <c r="T881" s="122"/>
      <c r="U881" s="122"/>
      <c r="V881" s="124"/>
      <c r="W881" s="125"/>
      <c r="X881" s="122"/>
      <c r="Y881" s="122"/>
      <c r="Z881" s="122"/>
      <c r="AA881" s="126"/>
      <c r="AB881" s="122"/>
      <c r="AC881" s="122"/>
      <c r="AD881" s="127"/>
      <c r="AE881" s="127"/>
      <c r="AF881" s="127"/>
      <c r="AG881" s="127"/>
      <c r="AH881" s="124"/>
      <c r="AI881" s="127"/>
      <c r="AJ881" s="127"/>
      <c r="AK881" s="126"/>
      <c r="AL881" s="122"/>
      <c r="AM881" s="122"/>
      <c r="AN881" s="122"/>
      <c r="AO881" s="122"/>
      <c r="AP881" s="122"/>
      <c r="AQ881" s="124"/>
    </row>
    <row r="882" spans="1:43" ht="15.75" customHeight="1">
      <c r="A882" s="122"/>
      <c r="B882" s="122"/>
      <c r="C882" s="122"/>
      <c r="D882" s="122"/>
      <c r="E882" s="122"/>
      <c r="F882" s="122"/>
      <c r="G882" s="122"/>
      <c r="H882" s="122"/>
      <c r="I882" s="122"/>
      <c r="J882" s="122"/>
      <c r="K882" s="122"/>
      <c r="L882" s="122"/>
      <c r="M882" s="123"/>
      <c r="N882" s="123"/>
      <c r="O882" s="122"/>
      <c r="P882" s="124"/>
      <c r="Q882" s="122"/>
      <c r="R882" s="122"/>
      <c r="S882" s="122"/>
      <c r="T882" s="122"/>
      <c r="U882" s="122"/>
      <c r="V882" s="124"/>
      <c r="W882" s="125"/>
      <c r="X882" s="122"/>
      <c r="Y882" s="122"/>
      <c r="Z882" s="122"/>
      <c r="AA882" s="126"/>
      <c r="AB882" s="122"/>
      <c r="AC882" s="122"/>
      <c r="AD882" s="127"/>
      <c r="AE882" s="127"/>
      <c r="AF882" s="127"/>
      <c r="AG882" s="127"/>
      <c r="AH882" s="124"/>
      <c r="AI882" s="127"/>
      <c r="AJ882" s="127"/>
      <c r="AK882" s="126"/>
      <c r="AL882" s="122"/>
      <c r="AM882" s="122"/>
      <c r="AN882" s="122"/>
      <c r="AO882" s="122"/>
      <c r="AP882" s="122"/>
      <c r="AQ882" s="124"/>
    </row>
    <row r="883" spans="1:43" ht="15.75" customHeight="1">
      <c r="A883" s="122"/>
      <c r="B883" s="122"/>
      <c r="C883" s="122"/>
      <c r="D883" s="122"/>
      <c r="E883" s="122"/>
      <c r="F883" s="122"/>
      <c r="G883" s="122"/>
      <c r="H883" s="122"/>
      <c r="I883" s="122"/>
      <c r="J883" s="122"/>
      <c r="K883" s="122"/>
      <c r="L883" s="122"/>
      <c r="M883" s="123"/>
      <c r="N883" s="123"/>
      <c r="O883" s="122"/>
      <c r="P883" s="124"/>
      <c r="Q883" s="122"/>
      <c r="R883" s="122"/>
      <c r="S883" s="122"/>
      <c r="T883" s="122"/>
      <c r="U883" s="122"/>
      <c r="V883" s="124"/>
      <c r="W883" s="125"/>
      <c r="X883" s="122"/>
      <c r="Y883" s="122"/>
      <c r="Z883" s="122"/>
      <c r="AA883" s="126"/>
      <c r="AB883" s="122"/>
      <c r="AC883" s="122"/>
      <c r="AD883" s="127"/>
      <c r="AE883" s="127"/>
      <c r="AF883" s="127"/>
      <c r="AG883" s="127"/>
      <c r="AH883" s="124"/>
      <c r="AI883" s="127"/>
      <c r="AJ883" s="127"/>
      <c r="AK883" s="126"/>
      <c r="AL883" s="122"/>
      <c r="AM883" s="122"/>
      <c r="AN883" s="122"/>
      <c r="AO883" s="122"/>
      <c r="AP883" s="122"/>
      <c r="AQ883" s="124"/>
    </row>
    <row r="884" spans="1:43" ht="15.75" customHeight="1">
      <c r="A884" s="122"/>
      <c r="B884" s="122"/>
      <c r="C884" s="122"/>
      <c r="D884" s="122"/>
      <c r="E884" s="122"/>
      <c r="F884" s="122"/>
      <c r="G884" s="122"/>
      <c r="H884" s="122"/>
      <c r="I884" s="122"/>
      <c r="J884" s="122"/>
      <c r="K884" s="122"/>
      <c r="L884" s="122"/>
      <c r="M884" s="123"/>
      <c r="N884" s="123"/>
      <c r="O884" s="122"/>
      <c r="P884" s="124"/>
      <c r="Q884" s="122"/>
      <c r="R884" s="122"/>
      <c r="S884" s="122"/>
      <c r="T884" s="122"/>
      <c r="U884" s="122"/>
      <c r="V884" s="124"/>
      <c r="W884" s="125"/>
      <c r="X884" s="122"/>
      <c r="Y884" s="122"/>
      <c r="Z884" s="122"/>
      <c r="AA884" s="126"/>
      <c r="AB884" s="122"/>
      <c r="AC884" s="122"/>
      <c r="AD884" s="127"/>
      <c r="AE884" s="127"/>
      <c r="AF884" s="127"/>
      <c r="AG884" s="127"/>
      <c r="AH884" s="124"/>
      <c r="AI884" s="127"/>
      <c r="AJ884" s="127"/>
      <c r="AK884" s="126"/>
      <c r="AL884" s="122"/>
      <c r="AM884" s="122"/>
      <c r="AN884" s="122"/>
      <c r="AO884" s="122"/>
      <c r="AP884" s="122"/>
      <c r="AQ884" s="124"/>
    </row>
    <row r="885" spans="1:43" ht="15.75" customHeight="1">
      <c r="A885" s="122"/>
      <c r="B885" s="122"/>
      <c r="C885" s="122"/>
      <c r="D885" s="122"/>
      <c r="E885" s="122"/>
      <c r="F885" s="122"/>
      <c r="G885" s="122"/>
      <c r="H885" s="122"/>
      <c r="I885" s="122"/>
      <c r="J885" s="122"/>
      <c r="K885" s="122"/>
      <c r="L885" s="122"/>
      <c r="M885" s="123"/>
      <c r="N885" s="123"/>
      <c r="O885" s="122"/>
      <c r="P885" s="124"/>
      <c r="Q885" s="122"/>
      <c r="R885" s="122"/>
      <c r="S885" s="122"/>
      <c r="T885" s="122"/>
      <c r="U885" s="122"/>
      <c r="V885" s="124"/>
      <c r="W885" s="125"/>
      <c r="X885" s="122"/>
      <c r="Y885" s="122"/>
      <c r="Z885" s="122"/>
      <c r="AA885" s="126"/>
      <c r="AB885" s="122"/>
      <c r="AC885" s="122"/>
      <c r="AD885" s="127"/>
      <c r="AE885" s="127"/>
      <c r="AF885" s="127"/>
      <c r="AG885" s="127"/>
      <c r="AH885" s="124"/>
      <c r="AI885" s="127"/>
      <c r="AJ885" s="127"/>
      <c r="AK885" s="126"/>
      <c r="AL885" s="122"/>
      <c r="AM885" s="122"/>
      <c r="AN885" s="122"/>
      <c r="AO885" s="122"/>
      <c r="AP885" s="122"/>
      <c r="AQ885" s="124"/>
    </row>
    <row r="886" spans="1:43" ht="15.75" customHeight="1">
      <c r="A886" s="122"/>
      <c r="B886" s="122"/>
      <c r="C886" s="122"/>
      <c r="D886" s="122"/>
      <c r="E886" s="122"/>
      <c r="F886" s="122"/>
      <c r="G886" s="122"/>
      <c r="H886" s="122"/>
      <c r="I886" s="122"/>
      <c r="J886" s="122"/>
      <c r="K886" s="122"/>
      <c r="L886" s="122"/>
      <c r="M886" s="123"/>
      <c r="N886" s="123"/>
      <c r="O886" s="122"/>
      <c r="P886" s="124"/>
      <c r="Q886" s="122"/>
      <c r="R886" s="122"/>
      <c r="S886" s="122"/>
      <c r="T886" s="122"/>
      <c r="U886" s="122"/>
      <c r="V886" s="124"/>
      <c r="W886" s="125"/>
      <c r="X886" s="122"/>
      <c r="Y886" s="122"/>
      <c r="Z886" s="122"/>
      <c r="AA886" s="126"/>
      <c r="AB886" s="122"/>
      <c r="AC886" s="122"/>
      <c r="AD886" s="127"/>
      <c r="AE886" s="127"/>
      <c r="AF886" s="127"/>
      <c r="AG886" s="127"/>
      <c r="AH886" s="124"/>
      <c r="AI886" s="127"/>
      <c r="AJ886" s="127"/>
      <c r="AK886" s="126"/>
      <c r="AL886" s="122"/>
      <c r="AM886" s="122"/>
      <c r="AN886" s="122"/>
      <c r="AO886" s="122"/>
      <c r="AP886" s="122"/>
      <c r="AQ886" s="124"/>
    </row>
    <row r="887" spans="1:43" ht="15.75" customHeight="1">
      <c r="A887" s="122"/>
      <c r="B887" s="122"/>
      <c r="C887" s="122"/>
      <c r="D887" s="122"/>
      <c r="E887" s="122"/>
      <c r="F887" s="122"/>
      <c r="G887" s="122"/>
      <c r="H887" s="122"/>
      <c r="I887" s="122"/>
      <c r="J887" s="122"/>
      <c r="K887" s="122"/>
      <c r="L887" s="122"/>
      <c r="M887" s="123"/>
      <c r="N887" s="123"/>
      <c r="O887" s="122"/>
      <c r="P887" s="124"/>
      <c r="Q887" s="122"/>
      <c r="R887" s="122"/>
      <c r="S887" s="122"/>
      <c r="T887" s="122"/>
      <c r="U887" s="122"/>
      <c r="V887" s="124"/>
      <c r="W887" s="125"/>
      <c r="X887" s="122"/>
      <c r="Y887" s="122"/>
      <c r="Z887" s="122"/>
      <c r="AA887" s="126"/>
      <c r="AB887" s="122"/>
      <c r="AC887" s="122"/>
      <c r="AD887" s="127"/>
      <c r="AE887" s="127"/>
      <c r="AF887" s="127"/>
      <c r="AG887" s="127"/>
      <c r="AH887" s="124"/>
      <c r="AI887" s="127"/>
      <c r="AJ887" s="127"/>
      <c r="AK887" s="126"/>
      <c r="AL887" s="122"/>
      <c r="AM887" s="122"/>
      <c r="AN887" s="122"/>
      <c r="AO887" s="122"/>
      <c r="AP887" s="122"/>
      <c r="AQ887" s="124"/>
    </row>
    <row r="888" spans="1:43" ht="15.75" customHeight="1">
      <c r="A888" s="122"/>
      <c r="B888" s="122"/>
      <c r="C888" s="122"/>
      <c r="D888" s="122"/>
      <c r="E888" s="122"/>
      <c r="F888" s="122"/>
      <c r="G888" s="122"/>
      <c r="H888" s="122"/>
      <c r="I888" s="122"/>
      <c r="J888" s="122"/>
      <c r="K888" s="122"/>
      <c r="L888" s="122"/>
      <c r="M888" s="123"/>
      <c r="N888" s="123"/>
      <c r="O888" s="122"/>
      <c r="P888" s="124"/>
      <c r="Q888" s="122"/>
      <c r="R888" s="122"/>
      <c r="S888" s="122"/>
      <c r="T888" s="122"/>
      <c r="U888" s="122"/>
      <c r="V888" s="124"/>
      <c r="W888" s="125"/>
      <c r="X888" s="122"/>
      <c r="Y888" s="122"/>
      <c r="Z888" s="122"/>
      <c r="AA888" s="126"/>
      <c r="AB888" s="122"/>
      <c r="AC888" s="122"/>
      <c r="AD888" s="127"/>
      <c r="AE888" s="127"/>
      <c r="AF888" s="127"/>
      <c r="AG888" s="127"/>
      <c r="AH888" s="124"/>
      <c r="AI888" s="127"/>
      <c r="AJ888" s="127"/>
      <c r="AK888" s="126"/>
      <c r="AL888" s="122"/>
      <c r="AM888" s="122"/>
      <c r="AN888" s="122"/>
      <c r="AO888" s="122"/>
      <c r="AP888" s="122"/>
      <c r="AQ888" s="124"/>
    </row>
    <row r="889" spans="1:43" ht="15.75" customHeight="1">
      <c r="A889" s="122"/>
      <c r="B889" s="122"/>
      <c r="C889" s="122"/>
      <c r="D889" s="122"/>
      <c r="E889" s="122"/>
      <c r="F889" s="122"/>
      <c r="G889" s="122"/>
      <c r="H889" s="122"/>
      <c r="I889" s="122"/>
      <c r="J889" s="122"/>
      <c r="K889" s="122"/>
      <c r="L889" s="122"/>
      <c r="M889" s="123"/>
      <c r="N889" s="123"/>
      <c r="O889" s="122"/>
      <c r="P889" s="124"/>
      <c r="Q889" s="122"/>
      <c r="R889" s="122"/>
      <c r="S889" s="122"/>
      <c r="T889" s="122"/>
      <c r="U889" s="122"/>
      <c r="V889" s="124"/>
      <c r="W889" s="125"/>
      <c r="X889" s="122"/>
      <c r="Y889" s="122"/>
      <c r="Z889" s="122"/>
      <c r="AA889" s="126"/>
      <c r="AB889" s="122"/>
      <c r="AC889" s="122"/>
      <c r="AD889" s="127"/>
      <c r="AE889" s="127"/>
      <c r="AF889" s="127"/>
      <c r="AG889" s="127"/>
      <c r="AH889" s="124"/>
      <c r="AI889" s="127"/>
      <c r="AJ889" s="127"/>
      <c r="AK889" s="126"/>
      <c r="AL889" s="122"/>
      <c r="AM889" s="122"/>
      <c r="AN889" s="122"/>
      <c r="AO889" s="122"/>
      <c r="AP889" s="122"/>
      <c r="AQ889" s="124"/>
    </row>
    <row r="890" spans="1:43" ht="15.75" customHeight="1">
      <c r="A890" s="122"/>
      <c r="B890" s="122"/>
      <c r="C890" s="122"/>
      <c r="D890" s="122"/>
      <c r="E890" s="122"/>
      <c r="F890" s="122"/>
      <c r="G890" s="122"/>
      <c r="H890" s="122"/>
      <c r="I890" s="122"/>
      <c r="J890" s="122"/>
      <c r="K890" s="122"/>
      <c r="L890" s="122"/>
      <c r="M890" s="123"/>
      <c r="N890" s="123"/>
      <c r="O890" s="122"/>
      <c r="P890" s="124"/>
      <c r="Q890" s="122"/>
      <c r="R890" s="122"/>
      <c r="S890" s="122"/>
      <c r="T890" s="122"/>
      <c r="U890" s="122"/>
      <c r="V890" s="124"/>
      <c r="W890" s="125"/>
      <c r="X890" s="122"/>
      <c r="Y890" s="122"/>
      <c r="Z890" s="122"/>
      <c r="AA890" s="126"/>
      <c r="AB890" s="122"/>
      <c r="AC890" s="122"/>
      <c r="AD890" s="127"/>
      <c r="AE890" s="127"/>
      <c r="AF890" s="127"/>
      <c r="AG890" s="127"/>
      <c r="AH890" s="124"/>
      <c r="AI890" s="127"/>
      <c r="AJ890" s="127"/>
      <c r="AK890" s="126"/>
      <c r="AL890" s="122"/>
      <c r="AM890" s="122"/>
      <c r="AN890" s="122"/>
      <c r="AO890" s="122"/>
      <c r="AP890" s="122"/>
      <c r="AQ890" s="124"/>
    </row>
    <row r="891" spans="1:43" ht="15.75" customHeight="1">
      <c r="A891" s="122"/>
      <c r="B891" s="122"/>
      <c r="C891" s="122"/>
      <c r="D891" s="122"/>
      <c r="E891" s="122"/>
      <c r="F891" s="122"/>
      <c r="G891" s="122"/>
      <c r="H891" s="122"/>
      <c r="I891" s="122"/>
      <c r="J891" s="122"/>
      <c r="K891" s="122"/>
      <c r="L891" s="122"/>
      <c r="M891" s="123"/>
      <c r="N891" s="123"/>
      <c r="O891" s="122"/>
      <c r="P891" s="124"/>
      <c r="Q891" s="122"/>
      <c r="R891" s="122"/>
      <c r="S891" s="122"/>
      <c r="T891" s="122"/>
      <c r="U891" s="122"/>
      <c r="V891" s="124"/>
      <c r="W891" s="125"/>
      <c r="X891" s="122"/>
      <c r="Y891" s="122"/>
      <c r="Z891" s="122"/>
      <c r="AA891" s="126"/>
      <c r="AB891" s="122"/>
      <c r="AC891" s="122"/>
      <c r="AD891" s="127"/>
      <c r="AE891" s="127"/>
      <c r="AF891" s="127"/>
      <c r="AG891" s="127"/>
      <c r="AH891" s="124"/>
      <c r="AI891" s="127"/>
      <c r="AJ891" s="127"/>
      <c r="AK891" s="126"/>
      <c r="AL891" s="122"/>
      <c r="AM891" s="122"/>
      <c r="AN891" s="122"/>
      <c r="AO891" s="122"/>
      <c r="AP891" s="122"/>
      <c r="AQ891" s="124"/>
    </row>
    <row r="892" spans="1:43" ht="15.75" customHeight="1">
      <c r="A892" s="122"/>
      <c r="B892" s="122"/>
      <c r="C892" s="122"/>
      <c r="D892" s="122"/>
      <c r="E892" s="122"/>
      <c r="F892" s="122"/>
      <c r="G892" s="122"/>
      <c r="H892" s="122"/>
      <c r="I892" s="122"/>
      <c r="J892" s="122"/>
      <c r="K892" s="122"/>
      <c r="L892" s="122"/>
      <c r="M892" s="123"/>
      <c r="N892" s="123"/>
      <c r="O892" s="122"/>
      <c r="P892" s="124"/>
      <c r="Q892" s="122"/>
      <c r="R892" s="122"/>
      <c r="S892" s="122"/>
      <c r="T892" s="122"/>
      <c r="U892" s="122"/>
      <c r="V892" s="124"/>
      <c r="W892" s="125"/>
      <c r="X892" s="122"/>
      <c r="Y892" s="122"/>
      <c r="Z892" s="122"/>
      <c r="AA892" s="126"/>
      <c r="AB892" s="122"/>
      <c r="AC892" s="122"/>
      <c r="AD892" s="127"/>
      <c r="AE892" s="127"/>
      <c r="AF892" s="127"/>
      <c r="AG892" s="127"/>
      <c r="AH892" s="124"/>
      <c r="AI892" s="127"/>
      <c r="AJ892" s="127"/>
      <c r="AK892" s="126"/>
      <c r="AL892" s="122"/>
      <c r="AM892" s="122"/>
      <c r="AN892" s="122"/>
      <c r="AO892" s="122"/>
      <c r="AP892" s="122"/>
      <c r="AQ892" s="124"/>
    </row>
    <row r="893" spans="1:43" ht="15.75" customHeight="1">
      <c r="A893" s="122"/>
      <c r="B893" s="122"/>
      <c r="C893" s="122"/>
      <c r="D893" s="122"/>
      <c r="E893" s="122"/>
      <c r="F893" s="122"/>
      <c r="G893" s="122"/>
      <c r="H893" s="122"/>
      <c r="I893" s="122"/>
      <c r="J893" s="122"/>
      <c r="K893" s="122"/>
      <c r="L893" s="122"/>
      <c r="M893" s="123"/>
      <c r="N893" s="123"/>
      <c r="O893" s="122"/>
      <c r="P893" s="124"/>
      <c r="Q893" s="122"/>
      <c r="R893" s="122"/>
      <c r="S893" s="122"/>
      <c r="T893" s="122"/>
      <c r="U893" s="122"/>
      <c r="V893" s="124"/>
      <c r="W893" s="125"/>
      <c r="X893" s="122"/>
      <c r="Y893" s="122"/>
      <c r="Z893" s="122"/>
      <c r="AA893" s="126"/>
      <c r="AB893" s="122"/>
      <c r="AC893" s="122"/>
      <c r="AD893" s="127"/>
      <c r="AE893" s="127"/>
      <c r="AF893" s="127"/>
      <c r="AG893" s="127"/>
      <c r="AH893" s="124"/>
      <c r="AI893" s="127"/>
      <c r="AJ893" s="127"/>
      <c r="AK893" s="126"/>
      <c r="AL893" s="122"/>
      <c r="AM893" s="122"/>
      <c r="AN893" s="122"/>
      <c r="AO893" s="122"/>
      <c r="AP893" s="122"/>
      <c r="AQ893" s="124"/>
    </row>
    <row r="894" spans="1:43" ht="15.75" customHeight="1">
      <c r="A894" s="122"/>
      <c r="B894" s="122"/>
      <c r="C894" s="122"/>
      <c r="D894" s="122"/>
      <c r="E894" s="122"/>
      <c r="F894" s="122"/>
      <c r="G894" s="122"/>
      <c r="H894" s="122"/>
      <c r="I894" s="122"/>
      <c r="J894" s="122"/>
      <c r="K894" s="122"/>
      <c r="L894" s="122"/>
      <c r="M894" s="123"/>
      <c r="N894" s="123"/>
      <c r="O894" s="122"/>
      <c r="P894" s="124"/>
      <c r="Q894" s="122"/>
      <c r="R894" s="122"/>
      <c r="S894" s="122"/>
      <c r="T894" s="122"/>
      <c r="U894" s="122"/>
      <c r="V894" s="124"/>
      <c r="W894" s="125"/>
      <c r="X894" s="122"/>
      <c r="Y894" s="122"/>
      <c r="Z894" s="122"/>
      <c r="AA894" s="126"/>
      <c r="AB894" s="122"/>
      <c r="AC894" s="122"/>
      <c r="AD894" s="127"/>
      <c r="AE894" s="127"/>
      <c r="AF894" s="127"/>
      <c r="AG894" s="127"/>
      <c r="AH894" s="124"/>
      <c r="AI894" s="127"/>
      <c r="AJ894" s="127"/>
      <c r="AK894" s="126"/>
      <c r="AL894" s="122"/>
      <c r="AM894" s="122"/>
      <c r="AN894" s="122"/>
      <c r="AO894" s="122"/>
      <c r="AP894" s="122"/>
      <c r="AQ894" s="124"/>
    </row>
    <row r="895" spans="1:43" ht="15.75" customHeight="1">
      <c r="A895" s="122"/>
      <c r="B895" s="122"/>
      <c r="C895" s="122"/>
      <c r="D895" s="122"/>
      <c r="E895" s="122"/>
      <c r="F895" s="122"/>
      <c r="G895" s="122"/>
      <c r="H895" s="122"/>
      <c r="I895" s="122"/>
      <c r="J895" s="122"/>
      <c r="K895" s="122"/>
      <c r="L895" s="122"/>
      <c r="M895" s="123"/>
      <c r="N895" s="123"/>
      <c r="O895" s="122"/>
      <c r="P895" s="124"/>
      <c r="Q895" s="122"/>
      <c r="R895" s="122"/>
      <c r="S895" s="122"/>
      <c r="T895" s="122"/>
      <c r="U895" s="122"/>
      <c r="V895" s="124"/>
      <c r="W895" s="125"/>
      <c r="X895" s="122"/>
      <c r="Y895" s="122"/>
      <c r="Z895" s="122"/>
      <c r="AA895" s="126"/>
      <c r="AB895" s="122"/>
      <c r="AC895" s="122"/>
      <c r="AD895" s="127"/>
      <c r="AE895" s="127"/>
      <c r="AF895" s="127"/>
      <c r="AG895" s="127"/>
      <c r="AH895" s="124"/>
      <c r="AI895" s="127"/>
      <c r="AJ895" s="127"/>
      <c r="AK895" s="126"/>
      <c r="AL895" s="122"/>
      <c r="AM895" s="122"/>
      <c r="AN895" s="122"/>
      <c r="AO895" s="122"/>
      <c r="AP895" s="122"/>
      <c r="AQ895" s="124"/>
    </row>
    <row r="896" spans="1:43" ht="15.75" customHeight="1">
      <c r="A896" s="122"/>
      <c r="B896" s="122"/>
      <c r="C896" s="122"/>
      <c r="D896" s="122"/>
      <c r="E896" s="122"/>
      <c r="F896" s="122"/>
      <c r="G896" s="122"/>
      <c r="H896" s="122"/>
      <c r="I896" s="122"/>
      <c r="J896" s="122"/>
      <c r="K896" s="122"/>
      <c r="L896" s="122"/>
      <c r="M896" s="123"/>
      <c r="N896" s="123"/>
      <c r="O896" s="122"/>
      <c r="P896" s="124"/>
      <c r="Q896" s="122"/>
      <c r="R896" s="122"/>
      <c r="S896" s="122"/>
      <c r="T896" s="122"/>
      <c r="U896" s="122"/>
      <c r="V896" s="124"/>
      <c r="W896" s="125"/>
      <c r="X896" s="122"/>
      <c r="Y896" s="122"/>
      <c r="Z896" s="122"/>
      <c r="AA896" s="126"/>
      <c r="AB896" s="122"/>
      <c r="AC896" s="122"/>
      <c r="AD896" s="127"/>
      <c r="AE896" s="127"/>
      <c r="AF896" s="127"/>
      <c r="AG896" s="127"/>
      <c r="AH896" s="124"/>
      <c r="AI896" s="127"/>
      <c r="AJ896" s="127"/>
      <c r="AK896" s="126"/>
      <c r="AL896" s="122"/>
      <c r="AM896" s="122"/>
      <c r="AN896" s="122"/>
      <c r="AO896" s="122"/>
      <c r="AP896" s="122"/>
      <c r="AQ896" s="124"/>
    </row>
    <row r="897" spans="1:43" ht="15.75" customHeight="1">
      <c r="A897" s="122"/>
      <c r="B897" s="122"/>
      <c r="C897" s="122"/>
      <c r="D897" s="122"/>
      <c r="E897" s="122"/>
      <c r="F897" s="122"/>
      <c r="G897" s="122"/>
      <c r="H897" s="122"/>
      <c r="I897" s="122"/>
      <c r="J897" s="122"/>
      <c r="K897" s="122"/>
      <c r="L897" s="122"/>
      <c r="M897" s="123"/>
      <c r="N897" s="123"/>
      <c r="O897" s="122"/>
      <c r="P897" s="124"/>
      <c r="Q897" s="122"/>
      <c r="R897" s="122"/>
      <c r="S897" s="122"/>
      <c r="T897" s="122"/>
      <c r="U897" s="122"/>
      <c r="V897" s="124"/>
      <c r="W897" s="125"/>
      <c r="X897" s="122"/>
      <c r="Y897" s="122"/>
      <c r="Z897" s="122"/>
      <c r="AA897" s="126"/>
      <c r="AB897" s="122"/>
      <c r="AC897" s="122"/>
      <c r="AD897" s="127"/>
      <c r="AE897" s="127"/>
      <c r="AF897" s="127"/>
      <c r="AG897" s="127"/>
      <c r="AH897" s="124"/>
      <c r="AI897" s="127"/>
      <c r="AJ897" s="127"/>
      <c r="AK897" s="126"/>
      <c r="AL897" s="122"/>
      <c r="AM897" s="122"/>
      <c r="AN897" s="122"/>
      <c r="AO897" s="122"/>
      <c r="AP897" s="122"/>
      <c r="AQ897" s="124"/>
    </row>
    <row r="898" spans="1:43" ht="15.75" customHeight="1">
      <c r="A898" s="122"/>
      <c r="B898" s="122"/>
      <c r="C898" s="122"/>
      <c r="D898" s="122"/>
      <c r="E898" s="122"/>
      <c r="F898" s="122"/>
      <c r="G898" s="122"/>
      <c r="H898" s="122"/>
      <c r="I898" s="122"/>
      <c r="J898" s="122"/>
      <c r="K898" s="122"/>
      <c r="L898" s="122"/>
      <c r="M898" s="123"/>
      <c r="N898" s="123"/>
      <c r="O898" s="122"/>
      <c r="P898" s="124"/>
      <c r="Q898" s="122"/>
      <c r="R898" s="122"/>
      <c r="S898" s="122"/>
      <c r="T898" s="122"/>
      <c r="U898" s="122"/>
      <c r="V898" s="124"/>
      <c r="W898" s="125"/>
      <c r="X898" s="122"/>
      <c r="Y898" s="122"/>
      <c r="Z898" s="122"/>
      <c r="AA898" s="126"/>
      <c r="AB898" s="122"/>
      <c r="AC898" s="122"/>
      <c r="AD898" s="127"/>
      <c r="AE898" s="127"/>
      <c r="AF898" s="127"/>
      <c r="AG898" s="127"/>
      <c r="AH898" s="124"/>
      <c r="AI898" s="127"/>
      <c r="AJ898" s="127"/>
      <c r="AK898" s="126"/>
      <c r="AL898" s="122"/>
      <c r="AM898" s="122"/>
      <c r="AN898" s="122"/>
      <c r="AO898" s="122"/>
      <c r="AP898" s="122"/>
      <c r="AQ898" s="124"/>
    </row>
    <row r="899" spans="1:43" ht="15.75" customHeight="1">
      <c r="A899" s="122"/>
      <c r="B899" s="122"/>
      <c r="C899" s="122"/>
      <c r="D899" s="122"/>
      <c r="E899" s="122"/>
      <c r="F899" s="122"/>
      <c r="G899" s="122"/>
      <c r="H899" s="122"/>
      <c r="I899" s="122"/>
      <c r="J899" s="122"/>
      <c r="K899" s="122"/>
      <c r="L899" s="122"/>
      <c r="M899" s="123"/>
      <c r="N899" s="123"/>
      <c r="O899" s="122"/>
      <c r="P899" s="124"/>
      <c r="Q899" s="122"/>
      <c r="R899" s="122"/>
      <c r="S899" s="122"/>
      <c r="T899" s="122"/>
      <c r="U899" s="122"/>
      <c r="V899" s="124"/>
      <c r="W899" s="125"/>
      <c r="X899" s="122"/>
      <c r="Y899" s="122"/>
      <c r="Z899" s="122"/>
      <c r="AA899" s="126"/>
      <c r="AB899" s="122"/>
      <c r="AC899" s="122"/>
      <c r="AD899" s="127"/>
      <c r="AE899" s="127"/>
      <c r="AF899" s="127"/>
      <c r="AG899" s="127"/>
      <c r="AH899" s="124"/>
      <c r="AI899" s="127"/>
      <c r="AJ899" s="127"/>
      <c r="AK899" s="126"/>
      <c r="AL899" s="122"/>
      <c r="AM899" s="122"/>
      <c r="AN899" s="122"/>
      <c r="AO899" s="122"/>
      <c r="AP899" s="122"/>
      <c r="AQ899" s="124"/>
    </row>
    <row r="900" spans="1:43" ht="15.75" customHeight="1">
      <c r="A900" s="122"/>
      <c r="B900" s="122"/>
      <c r="C900" s="122"/>
      <c r="D900" s="122"/>
      <c r="E900" s="122"/>
      <c r="F900" s="122"/>
      <c r="G900" s="122"/>
      <c r="H900" s="122"/>
      <c r="I900" s="122"/>
      <c r="J900" s="122"/>
      <c r="K900" s="122"/>
      <c r="L900" s="122"/>
      <c r="M900" s="123"/>
      <c r="N900" s="123"/>
      <c r="O900" s="122"/>
      <c r="P900" s="124"/>
      <c r="Q900" s="122"/>
      <c r="R900" s="122"/>
      <c r="S900" s="122"/>
      <c r="T900" s="122"/>
      <c r="U900" s="122"/>
      <c r="V900" s="124"/>
      <c r="W900" s="125"/>
      <c r="X900" s="122"/>
      <c r="Y900" s="122"/>
      <c r="Z900" s="122"/>
      <c r="AA900" s="126"/>
      <c r="AB900" s="122"/>
      <c r="AC900" s="122"/>
      <c r="AD900" s="127"/>
      <c r="AE900" s="127"/>
      <c r="AF900" s="127"/>
      <c r="AG900" s="127"/>
      <c r="AH900" s="124"/>
      <c r="AI900" s="127"/>
      <c r="AJ900" s="127"/>
      <c r="AK900" s="126"/>
      <c r="AL900" s="122"/>
      <c r="AM900" s="122"/>
      <c r="AN900" s="122"/>
      <c r="AO900" s="122"/>
      <c r="AP900" s="122"/>
      <c r="AQ900" s="124"/>
    </row>
    <row r="901" spans="1:43" ht="15.75" customHeight="1">
      <c r="A901" s="122"/>
      <c r="B901" s="122"/>
      <c r="C901" s="122"/>
      <c r="D901" s="122"/>
      <c r="E901" s="122"/>
      <c r="F901" s="122"/>
      <c r="G901" s="122"/>
      <c r="H901" s="122"/>
      <c r="I901" s="122"/>
      <c r="J901" s="122"/>
      <c r="K901" s="122"/>
      <c r="L901" s="122"/>
      <c r="M901" s="123"/>
      <c r="N901" s="123"/>
      <c r="O901" s="122"/>
      <c r="P901" s="124"/>
      <c r="Q901" s="122"/>
      <c r="R901" s="122"/>
      <c r="S901" s="122"/>
      <c r="T901" s="122"/>
      <c r="U901" s="122"/>
      <c r="V901" s="124"/>
      <c r="W901" s="125"/>
      <c r="X901" s="122"/>
      <c r="Y901" s="122"/>
      <c r="Z901" s="122"/>
      <c r="AA901" s="126"/>
      <c r="AB901" s="122"/>
      <c r="AC901" s="122"/>
      <c r="AD901" s="127"/>
      <c r="AE901" s="127"/>
      <c r="AF901" s="127"/>
      <c r="AG901" s="127"/>
      <c r="AH901" s="124"/>
      <c r="AI901" s="127"/>
      <c r="AJ901" s="127"/>
      <c r="AK901" s="126"/>
      <c r="AL901" s="122"/>
      <c r="AM901" s="122"/>
      <c r="AN901" s="122"/>
      <c r="AO901" s="122"/>
      <c r="AP901" s="122"/>
      <c r="AQ901" s="124"/>
    </row>
    <row r="902" spans="1:43" ht="15.75" customHeight="1">
      <c r="A902" s="122"/>
      <c r="B902" s="122"/>
      <c r="C902" s="122"/>
      <c r="D902" s="122"/>
      <c r="E902" s="122"/>
      <c r="F902" s="122"/>
      <c r="G902" s="122"/>
      <c r="H902" s="122"/>
      <c r="I902" s="122"/>
      <c r="J902" s="122"/>
      <c r="K902" s="122"/>
      <c r="L902" s="122"/>
      <c r="M902" s="123"/>
      <c r="N902" s="123"/>
      <c r="O902" s="122"/>
      <c r="P902" s="124"/>
      <c r="Q902" s="122"/>
      <c r="R902" s="122"/>
      <c r="S902" s="122"/>
      <c r="T902" s="122"/>
      <c r="U902" s="122"/>
      <c r="V902" s="124"/>
      <c r="W902" s="125"/>
      <c r="X902" s="122"/>
      <c r="Y902" s="122"/>
      <c r="Z902" s="122"/>
      <c r="AA902" s="126"/>
      <c r="AB902" s="122"/>
      <c r="AC902" s="122"/>
      <c r="AD902" s="127"/>
      <c r="AE902" s="127"/>
      <c r="AF902" s="127"/>
      <c r="AG902" s="127"/>
      <c r="AH902" s="124"/>
      <c r="AI902" s="127"/>
      <c r="AJ902" s="127"/>
      <c r="AK902" s="126"/>
      <c r="AL902" s="122"/>
      <c r="AM902" s="122"/>
      <c r="AN902" s="122"/>
      <c r="AO902" s="122"/>
      <c r="AP902" s="122"/>
      <c r="AQ902" s="124"/>
    </row>
    <row r="903" spans="1:43" ht="15.75" customHeight="1">
      <c r="A903" s="122"/>
      <c r="B903" s="122"/>
      <c r="C903" s="122"/>
      <c r="D903" s="122"/>
      <c r="E903" s="122"/>
      <c r="F903" s="122"/>
      <c r="G903" s="122"/>
      <c r="H903" s="122"/>
      <c r="I903" s="122"/>
      <c r="J903" s="122"/>
      <c r="K903" s="122"/>
      <c r="L903" s="122"/>
      <c r="M903" s="123"/>
      <c r="N903" s="123"/>
      <c r="O903" s="122"/>
      <c r="P903" s="124"/>
      <c r="Q903" s="122"/>
      <c r="R903" s="122"/>
      <c r="S903" s="122"/>
      <c r="T903" s="122"/>
      <c r="U903" s="122"/>
      <c r="V903" s="124"/>
      <c r="W903" s="125"/>
      <c r="X903" s="122"/>
      <c r="Y903" s="122"/>
      <c r="Z903" s="122"/>
      <c r="AA903" s="126"/>
      <c r="AB903" s="122"/>
      <c r="AC903" s="122"/>
      <c r="AD903" s="127"/>
      <c r="AE903" s="127"/>
      <c r="AF903" s="127"/>
      <c r="AG903" s="127"/>
      <c r="AH903" s="124"/>
      <c r="AI903" s="127"/>
      <c r="AJ903" s="127"/>
      <c r="AK903" s="126"/>
      <c r="AL903" s="122"/>
      <c r="AM903" s="122"/>
      <c r="AN903" s="122"/>
      <c r="AO903" s="122"/>
      <c r="AP903" s="122"/>
      <c r="AQ903" s="124"/>
    </row>
    <row r="904" spans="1:43" ht="15.75" customHeight="1">
      <c r="A904" s="122"/>
      <c r="B904" s="122"/>
      <c r="C904" s="122"/>
      <c r="D904" s="122"/>
      <c r="E904" s="122"/>
      <c r="F904" s="122"/>
      <c r="G904" s="122"/>
      <c r="H904" s="122"/>
      <c r="I904" s="122"/>
      <c r="J904" s="122"/>
      <c r="K904" s="122"/>
      <c r="L904" s="122"/>
      <c r="M904" s="123"/>
      <c r="N904" s="123"/>
      <c r="O904" s="122"/>
      <c r="P904" s="124"/>
      <c r="Q904" s="122"/>
      <c r="R904" s="122"/>
      <c r="S904" s="122"/>
      <c r="T904" s="122"/>
      <c r="U904" s="122"/>
      <c r="V904" s="124"/>
      <c r="W904" s="125"/>
      <c r="X904" s="122"/>
      <c r="Y904" s="122"/>
      <c r="Z904" s="122"/>
      <c r="AA904" s="126"/>
      <c r="AB904" s="122"/>
      <c r="AC904" s="122"/>
      <c r="AD904" s="127"/>
      <c r="AE904" s="127"/>
      <c r="AF904" s="127"/>
      <c r="AG904" s="127"/>
      <c r="AH904" s="124"/>
      <c r="AI904" s="127"/>
      <c r="AJ904" s="127"/>
      <c r="AK904" s="126"/>
      <c r="AL904" s="122"/>
      <c r="AM904" s="122"/>
      <c r="AN904" s="122"/>
      <c r="AO904" s="122"/>
      <c r="AP904" s="122"/>
      <c r="AQ904" s="124"/>
    </row>
    <row r="905" spans="1:43" ht="15.75" customHeight="1">
      <c r="A905" s="122"/>
      <c r="B905" s="122"/>
      <c r="C905" s="122"/>
      <c r="D905" s="122"/>
      <c r="E905" s="122"/>
      <c r="F905" s="122"/>
      <c r="G905" s="122"/>
      <c r="H905" s="122"/>
      <c r="I905" s="122"/>
      <c r="J905" s="122"/>
      <c r="K905" s="122"/>
      <c r="L905" s="122"/>
      <c r="M905" s="123"/>
      <c r="N905" s="123"/>
      <c r="O905" s="122"/>
      <c r="P905" s="124"/>
      <c r="Q905" s="122"/>
      <c r="R905" s="122"/>
      <c r="S905" s="122"/>
      <c r="T905" s="122"/>
      <c r="U905" s="122"/>
      <c r="V905" s="124"/>
      <c r="W905" s="125"/>
      <c r="X905" s="122"/>
      <c r="Y905" s="122"/>
      <c r="Z905" s="122"/>
      <c r="AA905" s="126"/>
      <c r="AB905" s="122"/>
      <c r="AC905" s="122"/>
      <c r="AD905" s="127"/>
      <c r="AE905" s="127"/>
      <c r="AF905" s="127"/>
      <c r="AG905" s="127"/>
      <c r="AH905" s="124"/>
      <c r="AI905" s="127"/>
      <c r="AJ905" s="127"/>
      <c r="AK905" s="126"/>
      <c r="AL905" s="122"/>
      <c r="AM905" s="122"/>
      <c r="AN905" s="122"/>
      <c r="AO905" s="122"/>
      <c r="AP905" s="122"/>
      <c r="AQ905" s="124"/>
    </row>
    <row r="906" spans="1:43" ht="15.75" customHeight="1">
      <c r="A906" s="122"/>
      <c r="B906" s="122"/>
      <c r="C906" s="122"/>
      <c r="D906" s="122"/>
      <c r="E906" s="122"/>
      <c r="F906" s="122"/>
      <c r="G906" s="122"/>
      <c r="H906" s="122"/>
      <c r="I906" s="122"/>
      <c r="J906" s="122"/>
      <c r="K906" s="122"/>
      <c r="L906" s="122"/>
      <c r="M906" s="123"/>
      <c r="N906" s="123"/>
      <c r="O906" s="122"/>
      <c r="P906" s="124"/>
      <c r="Q906" s="122"/>
      <c r="R906" s="122"/>
      <c r="S906" s="122"/>
      <c r="T906" s="122"/>
      <c r="U906" s="122"/>
      <c r="V906" s="124"/>
      <c r="W906" s="125"/>
      <c r="X906" s="122"/>
      <c r="Y906" s="122"/>
      <c r="Z906" s="122"/>
      <c r="AA906" s="126"/>
      <c r="AB906" s="122"/>
      <c r="AC906" s="122"/>
      <c r="AD906" s="127"/>
      <c r="AE906" s="127"/>
      <c r="AF906" s="127"/>
      <c r="AG906" s="127"/>
      <c r="AH906" s="124"/>
      <c r="AI906" s="127"/>
      <c r="AJ906" s="127"/>
      <c r="AK906" s="126"/>
      <c r="AL906" s="122"/>
      <c r="AM906" s="122"/>
      <c r="AN906" s="122"/>
      <c r="AO906" s="122"/>
      <c r="AP906" s="122"/>
      <c r="AQ906" s="124"/>
    </row>
    <row r="907" spans="1:43" ht="15.75" customHeight="1">
      <c r="A907" s="122"/>
      <c r="B907" s="122"/>
      <c r="C907" s="122"/>
      <c r="D907" s="122"/>
      <c r="E907" s="122"/>
      <c r="F907" s="122"/>
      <c r="G907" s="122"/>
      <c r="H907" s="122"/>
      <c r="I907" s="122"/>
      <c r="J907" s="122"/>
      <c r="K907" s="122"/>
      <c r="L907" s="122"/>
      <c r="M907" s="123"/>
      <c r="N907" s="123"/>
      <c r="O907" s="122"/>
      <c r="P907" s="124"/>
      <c r="Q907" s="122"/>
      <c r="R907" s="122"/>
      <c r="S907" s="122"/>
      <c r="T907" s="122"/>
      <c r="U907" s="122"/>
      <c r="V907" s="124"/>
      <c r="W907" s="125"/>
      <c r="X907" s="122"/>
      <c r="Y907" s="122"/>
      <c r="Z907" s="122"/>
      <c r="AA907" s="126"/>
      <c r="AB907" s="122"/>
      <c r="AC907" s="122"/>
      <c r="AD907" s="127"/>
      <c r="AE907" s="127"/>
      <c r="AF907" s="127"/>
      <c r="AG907" s="127"/>
      <c r="AH907" s="124"/>
      <c r="AI907" s="127"/>
      <c r="AJ907" s="127"/>
      <c r="AK907" s="126"/>
      <c r="AL907" s="122"/>
      <c r="AM907" s="122"/>
      <c r="AN907" s="122"/>
      <c r="AO907" s="122"/>
      <c r="AP907" s="122"/>
      <c r="AQ907" s="124"/>
    </row>
    <row r="908" spans="1:43" ht="15.75" customHeight="1">
      <c r="A908" s="122"/>
      <c r="B908" s="122"/>
      <c r="C908" s="122"/>
      <c r="D908" s="122"/>
      <c r="E908" s="122"/>
      <c r="F908" s="122"/>
      <c r="G908" s="122"/>
      <c r="H908" s="122"/>
      <c r="I908" s="122"/>
      <c r="J908" s="122"/>
      <c r="K908" s="122"/>
      <c r="L908" s="122"/>
      <c r="M908" s="123"/>
      <c r="N908" s="123"/>
      <c r="O908" s="122"/>
      <c r="P908" s="124"/>
      <c r="Q908" s="122"/>
      <c r="R908" s="122"/>
      <c r="S908" s="122"/>
      <c r="T908" s="122"/>
      <c r="U908" s="122"/>
      <c r="V908" s="124"/>
      <c r="W908" s="125"/>
      <c r="X908" s="122"/>
      <c r="Y908" s="122"/>
      <c r="Z908" s="122"/>
      <c r="AA908" s="126"/>
      <c r="AB908" s="122"/>
      <c r="AC908" s="122"/>
      <c r="AD908" s="127"/>
      <c r="AE908" s="127"/>
      <c r="AF908" s="127"/>
      <c r="AG908" s="127"/>
      <c r="AH908" s="124"/>
      <c r="AI908" s="127"/>
      <c r="AJ908" s="127"/>
      <c r="AK908" s="126"/>
      <c r="AL908" s="122"/>
      <c r="AM908" s="122"/>
      <c r="AN908" s="122"/>
      <c r="AO908" s="122"/>
      <c r="AP908" s="122"/>
      <c r="AQ908" s="124"/>
    </row>
    <row r="909" spans="1:43" ht="15.75" customHeight="1">
      <c r="A909" s="122"/>
      <c r="B909" s="122"/>
      <c r="C909" s="122"/>
      <c r="D909" s="122"/>
      <c r="E909" s="122"/>
      <c r="F909" s="122"/>
      <c r="G909" s="122"/>
      <c r="H909" s="122"/>
      <c r="I909" s="122"/>
      <c r="J909" s="122"/>
      <c r="K909" s="122"/>
      <c r="L909" s="122"/>
      <c r="M909" s="123"/>
      <c r="N909" s="123"/>
      <c r="O909" s="122"/>
      <c r="P909" s="124"/>
      <c r="Q909" s="122"/>
      <c r="R909" s="122"/>
      <c r="S909" s="122"/>
      <c r="T909" s="122"/>
      <c r="U909" s="122"/>
      <c r="V909" s="124"/>
      <c r="W909" s="125"/>
      <c r="X909" s="122"/>
      <c r="Y909" s="122"/>
      <c r="Z909" s="122"/>
      <c r="AA909" s="126"/>
      <c r="AB909" s="122"/>
      <c r="AC909" s="122"/>
      <c r="AD909" s="127"/>
      <c r="AE909" s="127"/>
      <c r="AF909" s="127"/>
      <c r="AG909" s="127"/>
      <c r="AH909" s="124"/>
      <c r="AI909" s="127"/>
      <c r="AJ909" s="127"/>
      <c r="AK909" s="126"/>
      <c r="AL909" s="122"/>
      <c r="AM909" s="122"/>
      <c r="AN909" s="122"/>
      <c r="AO909" s="122"/>
      <c r="AP909" s="122"/>
      <c r="AQ909" s="124"/>
    </row>
    <row r="910" spans="1:43" ht="15.75" customHeight="1">
      <c r="A910" s="122"/>
      <c r="B910" s="122"/>
      <c r="C910" s="122"/>
      <c r="D910" s="122"/>
      <c r="E910" s="122"/>
      <c r="F910" s="122"/>
      <c r="G910" s="122"/>
      <c r="H910" s="122"/>
      <c r="I910" s="122"/>
      <c r="J910" s="122"/>
      <c r="K910" s="122"/>
      <c r="L910" s="122"/>
      <c r="M910" s="123"/>
      <c r="N910" s="123"/>
      <c r="O910" s="122"/>
      <c r="P910" s="124"/>
      <c r="Q910" s="122"/>
      <c r="R910" s="122"/>
      <c r="S910" s="122"/>
      <c r="T910" s="122"/>
      <c r="U910" s="122"/>
      <c r="V910" s="124"/>
      <c r="W910" s="125"/>
      <c r="X910" s="122"/>
      <c r="Y910" s="122"/>
      <c r="Z910" s="122"/>
      <c r="AA910" s="126"/>
      <c r="AB910" s="122"/>
      <c r="AC910" s="122"/>
      <c r="AD910" s="127"/>
      <c r="AE910" s="127"/>
      <c r="AF910" s="127"/>
      <c r="AG910" s="127"/>
      <c r="AH910" s="124"/>
      <c r="AI910" s="127"/>
      <c r="AJ910" s="127"/>
      <c r="AK910" s="126"/>
      <c r="AL910" s="122"/>
      <c r="AM910" s="122"/>
      <c r="AN910" s="122"/>
      <c r="AO910" s="122"/>
      <c r="AP910" s="122"/>
      <c r="AQ910" s="124"/>
    </row>
    <row r="911" spans="1:43" ht="15.75" customHeight="1">
      <c r="A911" s="122"/>
      <c r="B911" s="122"/>
      <c r="C911" s="122"/>
      <c r="D911" s="122"/>
      <c r="E911" s="122"/>
      <c r="F911" s="122"/>
      <c r="G911" s="122"/>
      <c r="H911" s="122"/>
      <c r="I911" s="122"/>
      <c r="J911" s="122"/>
      <c r="K911" s="122"/>
      <c r="L911" s="122"/>
      <c r="M911" s="123"/>
      <c r="N911" s="123"/>
      <c r="O911" s="122"/>
      <c r="P911" s="124"/>
      <c r="Q911" s="122"/>
      <c r="R911" s="122"/>
      <c r="S911" s="122"/>
      <c r="T911" s="122"/>
      <c r="U911" s="122"/>
      <c r="V911" s="124"/>
      <c r="W911" s="125"/>
      <c r="X911" s="122"/>
      <c r="Y911" s="122"/>
      <c r="Z911" s="122"/>
      <c r="AA911" s="126"/>
      <c r="AB911" s="122"/>
      <c r="AC911" s="122"/>
      <c r="AD911" s="127"/>
      <c r="AE911" s="127"/>
      <c r="AF911" s="127"/>
      <c r="AG911" s="127"/>
      <c r="AH911" s="124"/>
      <c r="AI911" s="127"/>
      <c r="AJ911" s="127"/>
      <c r="AK911" s="126"/>
      <c r="AL911" s="122"/>
      <c r="AM911" s="122"/>
      <c r="AN911" s="122"/>
      <c r="AO911" s="122"/>
      <c r="AP911" s="122"/>
      <c r="AQ911" s="124"/>
    </row>
    <row r="912" spans="1:43" ht="15.75" customHeight="1">
      <c r="A912" s="122"/>
      <c r="B912" s="122"/>
      <c r="C912" s="122"/>
      <c r="D912" s="122"/>
      <c r="E912" s="122"/>
      <c r="F912" s="122"/>
      <c r="G912" s="122"/>
      <c r="H912" s="122"/>
      <c r="I912" s="122"/>
      <c r="J912" s="122"/>
      <c r="K912" s="122"/>
      <c r="L912" s="122"/>
      <c r="M912" s="123"/>
      <c r="N912" s="123"/>
      <c r="O912" s="122"/>
      <c r="P912" s="124"/>
      <c r="Q912" s="122"/>
      <c r="R912" s="122"/>
      <c r="S912" s="122"/>
      <c r="T912" s="122"/>
      <c r="U912" s="122"/>
      <c r="V912" s="124"/>
      <c r="W912" s="125"/>
      <c r="X912" s="122"/>
      <c r="Y912" s="122"/>
      <c r="Z912" s="122"/>
      <c r="AA912" s="126"/>
      <c r="AB912" s="122"/>
      <c r="AC912" s="122"/>
      <c r="AD912" s="127"/>
      <c r="AE912" s="127"/>
      <c r="AF912" s="127"/>
      <c r="AG912" s="127"/>
      <c r="AH912" s="124"/>
      <c r="AI912" s="127"/>
      <c r="AJ912" s="127"/>
      <c r="AK912" s="126"/>
      <c r="AL912" s="122"/>
      <c r="AM912" s="122"/>
      <c r="AN912" s="122"/>
      <c r="AO912" s="122"/>
      <c r="AP912" s="122"/>
      <c r="AQ912" s="124"/>
    </row>
    <row r="913" spans="1:43" ht="15.75" customHeight="1">
      <c r="A913" s="122"/>
      <c r="B913" s="122"/>
      <c r="C913" s="122"/>
      <c r="D913" s="122"/>
      <c r="E913" s="122"/>
      <c r="F913" s="122"/>
      <c r="G913" s="122"/>
      <c r="H913" s="122"/>
      <c r="I913" s="122"/>
      <c r="J913" s="122"/>
      <c r="K913" s="122"/>
      <c r="L913" s="122"/>
      <c r="M913" s="123"/>
      <c r="N913" s="123"/>
      <c r="O913" s="122"/>
      <c r="P913" s="124"/>
      <c r="Q913" s="122"/>
      <c r="R913" s="122"/>
      <c r="S913" s="122"/>
      <c r="T913" s="122"/>
      <c r="U913" s="122"/>
      <c r="V913" s="124"/>
      <c r="W913" s="125"/>
      <c r="X913" s="122"/>
      <c r="Y913" s="122"/>
      <c r="Z913" s="122"/>
      <c r="AA913" s="126"/>
      <c r="AB913" s="122"/>
      <c r="AC913" s="122"/>
      <c r="AD913" s="127"/>
      <c r="AE913" s="127"/>
      <c r="AF913" s="127"/>
      <c r="AG913" s="127"/>
      <c r="AH913" s="124"/>
      <c r="AI913" s="127"/>
      <c r="AJ913" s="127"/>
      <c r="AK913" s="126"/>
      <c r="AL913" s="122"/>
      <c r="AM913" s="122"/>
      <c r="AN913" s="122"/>
      <c r="AO913" s="122"/>
      <c r="AP913" s="122"/>
      <c r="AQ913" s="124"/>
    </row>
    <row r="914" spans="1:43" ht="15.75" customHeight="1">
      <c r="A914" s="122"/>
      <c r="B914" s="122"/>
      <c r="C914" s="122"/>
      <c r="D914" s="122"/>
      <c r="E914" s="122"/>
      <c r="F914" s="122"/>
      <c r="G914" s="122"/>
      <c r="H914" s="122"/>
      <c r="I914" s="122"/>
      <c r="J914" s="122"/>
      <c r="K914" s="122"/>
      <c r="L914" s="122"/>
      <c r="M914" s="123"/>
      <c r="N914" s="123"/>
      <c r="O914" s="122"/>
      <c r="P914" s="124"/>
      <c r="Q914" s="122"/>
      <c r="R914" s="122"/>
      <c r="S914" s="122"/>
      <c r="T914" s="122"/>
      <c r="U914" s="122"/>
      <c r="V914" s="124"/>
      <c r="W914" s="125"/>
      <c r="X914" s="122"/>
      <c r="Y914" s="122"/>
      <c r="Z914" s="122"/>
      <c r="AA914" s="126"/>
      <c r="AB914" s="122"/>
      <c r="AC914" s="122"/>
      <c r="AD914" s="127"/>
      <c r="AE914" s="127"/>
      <c r="AF914" s="127"/>
      <c r="AG914" s="127"/>
      <c r="AH914" s="124"/>
      <c r="AI914" s="127"/>
      <c r="AJ914" s="127"/>
      <c r="AK914" s="126"/>
      <c r="AL914" s="122"/>
      <c r="AM914" s="122"/>
      <c r="AN914" s="122"/>
      <c r="AO914" s="122"/>
      <c r="AP914" s="122"/>
      <c r="AQ914" s="124"/>
    </row>
    <row r="915" spans="1:43" ht="15.75" customHeight="1">
      <c r="A915" s="122"/>
      <c r="B915" s="122"/>
      <c r="C915" s="122"/>
      <c r="D915" s="122"/>
      <c r="E915" s="122"/>
      <c r="F915" s="122"/>
      <c r="G915" s="122"/>
      <c r="H915" s="122"/>
      <c r="I915" s="122"/>
      <c r="J915" s="122"/>
      <c r="K915" s="122"/>
      <c r="L915" s="122"/>
      <c r="M915" s="123"/>
      <c r="N915" s="123"/>
      <c r="O915" s="122"/>
      <c r="P915" s="124"/>
      <c r="Q915" s="122"/>
      <c r="R915" s="122"/>
      <c r="S915" s="122"/>
      <c r="T915" s="122"/>
      <c r="U915" s="122"/>
      <c r="V915" s="124"/>
      <c r="W915" s="125"/>
      <c r="X915" s="122"/>
      <c r="Y915" s="122"/>
      <c r="Z915" s="122"/>
      <c r="AA915" s="126"/>
      <c r="AB915" s="122"/>
      <c r="AC915" s="122"/>
      <c r="AD915" s="127"/>
      <c r="AE915" s="127"/>
      <c r="AF915" s="127"/>
      <c r="AG915" s="127"/>
      <c r="AH915" s="124"/>
      <c r="AI915" s="127"/>
      <c r="AJ915" s="127"/>
      <c r="AK915" s="126"/>
      <c r="AL915" s="122"/>
      <c r="AM915" s="122"/>
      <c r="AN915" s="122"/>
      <c r="AO915" s="122"/>
      <c r="AP915" s="122"/>
      <c r="AQ915" s="124"/>
    </row>
    <row r="916" spans="1:43" ht="15.75" customHeight="1">
      <c r="A916" s="122"/>
      <c r="B916" s="122"/>
      <c r="C916" s="122"/>
      <c r="D916" s="122"/>
      <c r="E916" s="122"/>
      <c r="F916" s="122"/>
      <c r="G916" s="122"/>
      <c r="H916" s="122"/>
      <c r="I916" s="122"/>
      <c r="J916" s="122"/>
      <c r="K916" s="122"/>
      <c r="L916" s="122"/>
      <c r="M916" s="123"/>
      <c r="N916" s="123"/>
      <c r="O916" s="122"/>
      <c r="P916" s="124"/>
      <c r="Q916" s="122"/>
      <c r="R916" s="122"/>
      <c r="S916" s="122"/>
      <c r="T916" s="122"/>
      <c r="U916" s="122"/>
      <c r="V916" s="124"/>
      <c r="W916" s="125"/>
      <c r="X916" s="122"/>
      <c r="Y916" s="122"/>
      <c r="Z916" s="122"/>
      <c r="AA916" s="126"/>
      <c r="AB916" s="122"/>
      <c r="AC916" s="122"/>
      <c r="AD916" s="127"/>
      <c r="AE916" s="127"/>
      <c r="AF916" s="127"/>
      <c r="AG916" s="127"/>
      <c r="AH916" s="124"/>
      <c r="AI916" s="127"/>
      <c r="AJ916" s="127"/>
      <c r="AK916" s="126"/>
      <c r="AL916" s="122"/>
      <c r="AM916" s="122"/>
      <c r="AN916" s="122"/>
      <c r="AO916" s="122"/>
      <c r="AP916" s="122"/>
      <c r="AQ916" s="124"/>
    </row>
    <row r="917" spans="1:43" ht="15.75" customHeight="1">
      <c r="A917" s="122"/>
      <c r="B917" s="122"/>
      <c r="C917" s="122"/>
      <c r="D917" s="122"/>
      <c r="E917" s="122"/>
      <c r="F917" s="122"/>
      <c r="G917" s="122"/>
      <c r="H917" s="122"/>
      <c r="I917" s="122"/>
      <c r="J917" s="122"/>
      <c r="K917" s="122"/>
      <c r="L917" s="122"/>
      <c r="M917" s="123"/>
      <c r="N917" s="123"/>
      <c r="O917" s="122"/>
      <c r="P917" s="124"/>
      <c r="Q917" s="122"/>
      <c r="R917" s="122"/>
      <c r="S917" s="122"/>
      <c r="T917" s="122"/>
      <c r="U917" s="122"/>
      <c r="V917" s="124"/>
      <c r="W917" s="125"/>
      <c r="X917" s="122"/>
      <c r="Y917" s="122"/>
      <c r="Z917" s="122"/>
      <c r="AA917" s="126"/>
      <c r="AB917" s="122"/>
      <c r="AC917" s="122"/>
      <c r="AD917" s="127"/>
      <c r="AE917" s="127"/>
      <c r="AF917" s="127"/>
      <c r="AG917" s="127"/>
      <c r="AH917" s="124"/>
      <c r="AI917" s="127"/>
      <c r="AJ917" s="127"/>
      <c r="AK917" s="126"/>
      <c r="AL917" s="122"/>
      <c r="AM917" s="122"/>
      <c r="AN917" s="122"/>
      <c r="AO917" s="122"/>
      <c r="AP917" s="122"/>
      <c r="AQ917" s="124"/>
    </row>
    <row r="918" spans="1:43" ht="15.75" customHeight="1">
      <c r="A918" s="122"/>
      <c r="B918" s="122"/>
      <c r="C918" s="122"/>
      <c r="D918" s="122"/>
      <c r="E918" s="122"/>
      <c r="F918" s="122"/>
      <c r="G918" s="122"/>
      <c r="H918" s="122"/>
      <c r="I918" s="122"/>
      <c r="J918" s="122"/>
      <c r="K918" s="122"/>
      <c r="L918" s="122"/>
      <c r="M918" s="123"/>
      <c r="N918" s="123"/>
      <c r="O918" s="122"/>
      <c r="P918" s="124"/>
      <c r="Q918" s="122"/>
      <c r="R918" s="122"/>
      <c r="S918" s="122"/>
      <c r="T918" s="122"/>
      <c r="U918" s="122"/>
      <c r="V918" s="124"/>
      <c r="W918" s="125"/>
      <c r="X918" s="122"/>
      <c r="Y918" s="122"/>
      <c r="Z918" s="122"/>
      <c r="AA918" s="126"/>
      <c r="AB918" s="122"/>
      <c r="AC918" s="122"/>
      <c r="AD918" s="127"/>
      <c r="AE918" s="127"/>
      <c r="AF918" s="127"/>
      <c r="AG918" s="127"/>
      <c r="AH918" s="124"/>
      <c r="AI918" s="127"/>
      <c r="AJ918" s="127"/>
      <c r="AK918" s="126"/>
      <c r="AL918" s="122"/>
      <c r="AM918" s="122"/>
      <c r="AN918" s="122"/>
      <c r="AO918" s="122"/>
      <c r="AP918" s="122"/>
      <c r="AQ918" s="124"/>
    </row>
    <row r="919" spans="1:43" ht="15.75" customHeight="1">
      <c r="A919" s="122"/>
      <c r="B919" s="122"/>
      <c r="C919" s="122"/>
      <c r="D919" s="122"/>
      <c r="E919" s="122"/>
      <c r="F919" s="122"/>
      <c r="G919" s="122"/>
      <c r="H919" s="122"/>
      <c r="I919" s="122"/>
      <c r="J919" s="122"/>
      <c r="K919" s="122"/>
      <c r="L919" s="122"/>
      <c r="M919" s="123"/>
      <c r="N919" s="123"/>
      <c r="O919" s="122"/>
      <c r="P919" s="124"/>
      <c r="Q919" s="122"/>
      <c r="R919" s="122"/>
      <c r="S919" s="122"/>
      <c r="T919" s="122"/>
      <c r="U919" s="122"/>
      <c r="V919" s="124"/>
      <c r="W919" s="125"/>
      <c r="X919" s="122"/>
      <c r="Y919" s="122"/>
      <c r="Z919" s="122"/>
      <c r="AA919" s="126"/>
      <c r="AB919" s="122"/>
      <c r="AC919" s="122"/>
      <c r="AD919" s="127"/>
      <c r="AE919" s="127"/>
      <c r="AF919" s="127"/>
      <c r="AG919" s="127"/>
      <c r="AH919" s="124"/>
      <c r="AI919" s="127"/>
      <c r="AJ919" s="127"/>
      <c r="AK919" s="126"/>
      <c r="AL919" s="122"/>
      <c r="AM919" s="122"/>
      <c r="AN919" s="122"/>
      <c r="AO919" s="122"/>
      <c r="AP919" s="122"/>
      <c r="AQ919" s="124"/>
    </row>
    <row r="920" spans="1:43" ht="15.75" customHeight="1">
      <c r="A920" s="122"/>
      <c r="B920" s="122"/>
      <c r="C920" s="122"/>
      <c r="D920" s="122"/>
      <c r="E920" s="122"/>
      <c r="F920" s="122"/>
      <c r="G920" s="122"/>
      <c r="H920" s="122"/>
      <c r="I920" s="122"/>
      <c r="J920" s="122"/>
      <c r="K920" s="122"/>
      <c r="L920" s="122"/>
      <c r="M920" s="123"/>
      <c r="N920" s="123"/>
      <c r="O920" s="122"/>
      <c r="P920" s="124"/>
      <c r="Q920" s="122"/>
      <c r="R920" s="122"/>
      <c r="S920" s="122"/>
      <c r="T920" s="122"/>
      <c r="U920" s="122"/>
      <c r="V920" s="124"/>
      <c r="W920" s="125"/>
      <c r="X920" s="122"/>
      <c r="Y920" s="122"/>
      <c r="Z920" s="122"/>
      <c r="AA920" s="126"/>
      <c r="AB920" s="122"/>
      <c r="AC920" s="122"/>
      <c r="AD920" s="127"/>
      <c r="AE920" s="127"/>
      <c r="AF920" s="127"/>
      <c r="AG920" s="127"/>
      <c r="AH920" s="124"/>
      <c r="AI920" s="127"/>
      <c r="AJ920" s="127"/>
      <c r="AK920" s="126"/>
      <c r="AL920" s="122"/>
      <c r="AM920" s="122"/>
      <c r="AN920" s="122"/>
      <c r="AO920" s="122"/>
      <c r="AP920" s="122"/>
      <c r="AQ920" s="124"/>
    </row>
    <row r="921" spans="1:43" ht="15.75" customHeight="1">
      <c r="A921" s="122"/>
      <c r="B921" s="122"/>
      <c r="C921" s="122"/>
      <c r="D921" s="122"/>
      <c r="E921" s="122"/>
      <c r="F921" s="122"/>
      <c r="G921" s="122"/>
      <c r="H921" s="122"/>
      <c r="I921" s="122"/>
      <c r="J921" s="122"/>
      <c r="K921" s="122"/>
      <c r="L921" s="122"/>
      <c r="M921" s="123"/>
      <c r="N921" s="123"/>
      <c r="O921" s="122"/>
      <c r="P921" s="124"/>
      <c r="Q921" s="122"/>
      <c r="R921" s="122"/>
      <c r="S921" s="122"/>
      <c r="T921" s="122"/>
      <c r="U921" s="122"/>
      <c r="V921" s="124"/>
      <c r="W921" s="125"/>
      <c r="X921" s="122"/>
      <c r="Y921" s="122"/>
      <c r="Z921" s="122"/>
      <c r="AA921" s="126"/>
      <c r="AB921" s="122"/>
      <c r="AC921" s="122"/>
      <c r="AD921" s="127"/>
      <c r="AE921" s="127"/>
      <c r="AF921" s="127"/>
      <c r="AG921" s="127"/>
      <c r="AH921" s="124"/>
      <c r="AI921" s="127"/>
      <c r="AJ921" s="127"/>
      <c r="AK921" s="126"/>
      <c r="AL921" s="122"/>
      <c r="AM921" s="122"/>
      <c r="AN921" s="122"/>
      <c r="AO921" s="122"/>
      <c r="AP921" s="122"/>
      <c r="AQ921" s="124"/>
    </row>
    <row r="922" spans="1:43" ht="15.75" customHeight="1">
      <c r="A922" s="122"/>
      <c r="B922" s="122"/>
      <c r="C922" s="122"/>
      <c r="D922" s="122"/>
      <c r="E922" s="122"/>
      <c r="F922" s="122"/>
      <c r="G922" s="122"/>
      <c r="H922" s="122"/>
      <c r="I922" s="122"/>
      <c r="J922" s="122"/>
      <c r="K922" s="122"/>
      <c r="L922" s="122"/>
      <c r="M922" s="123"/>
      <c r="N922" s="123"/>
      <c r="O922" s="122"/>
      <c r="P922" s="124"/>
      <c r="Q922" s="122"/>
      <c r="R922" s="122"/>
      <c r="S922" s="122"/>
      <c r="T922" s="122"/>
      <c r="U922" s="122"/>
      <c r="V922" s="124"/>
      <c r="W922" s="125"/>
      <c r="X922" s="122"/>
      <c r="Y922" s="122"/>
      <c r="Z922" s="122"/>
      <c r="AA922" s="126"/>
      <c r="AB922" s="122"/>
      <c r="AC922" s="122"/>
      <c r="AD922" s="127"/>
      <c r="AE922" s="127"/>
      <c r="AF922" s="127"/>
      <c r="AG922" s="127"/>
      <c r="AH922" s="124"/>
      <c r="AI922" s="127"/>
      <c r="AJ922" s="127"/>
      <c r="AK922" s="126"/>
      <c r="AL922" s="122"/>
      <c r="AM922" s="122"/>
      <c r="AN922" s="122"/>
      <c r="AO922" s="122"/>
      <c r="AP922" s="122"/>
      <c r="AQ922" s="124"/>
    </row>
    <row r="923" spans="1:43" ht="15.75" customHeight="1">
      <c r="A923" s="122"/>
      <c r="B923" s="122"/>
      <c r="C923" s="122"/>
      <c r="D923" s="122"/>
      <c r="E923" s="122"/>
      <c r="F923" s="122"/>
      <c r="G923" s="122"/>
      <c r="H923" s="122"/>
      <c r="I923" s="122"/>
      <c r="J923" s="122"/>
      <c r="K923" s="122"/>
      <c r="L923" s="122"/>
      <c r="M923" s="123"/>
      <c r="N923" s="123"/>
      <c r="O923" s="122"/>
      <c r="P923" s="124"/>
      <c r="Q923" s="122"/>
      <c r="R923" s="122"/>
      <c r="S923" s="122"/>
      <c r="T923" s="122"/>
      <c r="U923" s="122"/>
      <c r="V923" s="124"/>
      <c r="W923" s="125"/>
      <c r="X923" s="122"/>
      <c r="Y923" s="122"/>
      <c r="Z923" s="122"/>
      <c r="AA923" s="126"/>
      <c r="AB923" s="122"/>
      <c r="AC923" s="122"/>
      <c r="AD923" s="127"/>
      <c r="AE923" s="127"/>
      <c r="AF923" s="127"/>
      <c r="AG923" s="127"/>
      <c r="AH923" s="124"/>
      <c r="AI923" s="127"/>
      <c r="AJ923" s="127"/>
      <c r="AK923" s="126"/>
      <c r="AL923" s="122"/>
      <c r="AM923" s="122"/>
      <c r="AN923" s="122"/>
      <c r="AO923" s="122"/>
      <c r="AP923" s="122"/>
      <c r="AQ923" s="124"/>
    </row>
    <row r="924" spans="1:43" ht="15.75" customHeight="1">
      <c r="A924" s="122"/>
      <c r="B924" s="122"/>
      <c r="C924" s="122"/>
      <c r="D924" s="122"/>
      <c r="E924" s="122"/>
      <c r="F924" s="122"/>
      <c r="G924" s="122"/>
      <c r="H924" s="122"/>
      <c r="I924" s="122"/>
      <c r="J924" s="122"/>
      <c r="K924" s="122"/>
      <c r="L924" s="122"/>
      <c r="M924" s="123"/>
      <c r="N924" s="123"/>
      <c r="O924" s="122"/>
      <c r="P924" s="124"/>
      <c r="Q924" s="122"/>
      <c r="R924" s="122"/>
      <c r="S924" s="122"/>
      <c r="T924" s="122"/>
      <c r="U924" s="122"/>
      <c r="V924" s="124"/>
      <c r="W924" s="125"/>
      <c r="X924" s="122"/>
      <c r="Y924" s="122"/>
      <c r="Z924" s="122"/>
      <c r="AA924" s="126"/>
      <c r="AB924" s="122"/>
      <c r="AC924" s="122"/>
      <c r="AD924" s="127"/>
      <c r="AE924" s="127"/>
      <c r="AF924" s="127"/>
      <c r="AG924" s="127"/>
      <c r="AH924" s="124"/>
      <c r="AI924" s="127"/>
      <c r="AJ924" s="127"/>
      <c r="AK924" s="126"/>
      <c r="AL924" s="122"/>
      <c r="AM924" s="122"/>
      <c r="AN924" s="122"/>
      <c r="AO924" s="122"/>
      <c r="AP924" s="122"/>
      <c r="AQ924" s="124"/>
    </row>
    <row r="925" spans="1:43" ht="15.75" customHeight="1">
      <c r="A925" s="122"/>
      <c r="B925" s="122"/>
      <c r="C925" s="122"/>
      <c r="D925" s="122"/>
      <c r="E925" s="122"/>
      <c r="F925" s="122"/>
      <c r="G925" s="122"/>
      <c r="H925" s="122"/>
      <c r="I925" s="122"/>
      <c r="J925" s="122"/>
      <c r="K925" s="122"/>
      <c r="L925" s="122"/>
      <c r="M925" s="123"/>
      <c r="N925" s="123"/>
      <c r="O925" s="122"/>
      <c r="P925" s="124"/>
      <c r="Q925" s="122"/>
      <c r="R925" s="122"/>
      <c r="S925" s="122"/>
      <c r="T925" s="122"/>
      <c r="U925" s="122"/>
      <c r="V925" s="124"/>
      <c r="W925" s="125"/>
      <c r="X925" s="122"/>
      <c r="Y925" s="122"/>
      <c r="Z925" s="122"/>
      <c r="AA925" s="126"/>
      <c r="AB925" s="122"/>
      <c r="AC925" s="122"/>
      <c r="AD925" s="127"/>
      <c r="AE925" s="127"/>
      <c r="AF925" s="127"/>
      <c r="AG925" s="127"/>
      <c r="AH925" s="124"/>
      <c r="AI925" s="127"/>
      <c r="AJ925" s="127"/>
      <c r="AK925" s="126"/>
      <c r="AL925" s="122"/>
      <c r="AM925" s="122"/>
      <c r="AN925" s="122"/>
      <c r="AO925" s="122"/>
      <c r="AP925" s="122"/>
      <c r="AQ925" s="124"/>
    </row>
    <row r="926" spans="1:43" ht="15.75" customHeight="1">
      <c r="A926" s="122"/>
      <c r="B926" s="122"/>
      <c r="C926" s="122"/>
      <c r="D926" s="122"/>
      <c r="E926" s="122"/>
      <c r="F926" s="122"/>
      <c r="G926" s="122"/>
      <c r="H926" s="122"/>
      <c r="I926" s="122"/>
      <c r="J926" s="122"/>
      <c r="K926" s="122"/>
      <c r="L926" s="122"/>
      <c r="M926" s="123"/>
      <c r="N926" s="123"/>
      <c r="O926" s="122"/>
      <c r="P926" s="124"/>
      <c r="Q926" s="122"/>
      <c r="R926" s="122"/>
      <c r="S926" s="122"/>
      <c r="T926" s="122"/>
      <c r="U926" s="122"/>
      <c r="V926" s="124"/>
      <c r="W926" s="125"/>
      <c r="X926" s="122"/>
      <c r="Y926" s="122"/>
      <c r="Z926" s="122"/>
      <c r="AA926" s="126"/>
      <c r="AB926" s="122"/>
      <c r="AC926" s="122"/>
      <c r="AD926" s="127"/>
      <c r="AE926" s="127"/>
      <c r="AF926" s="127"/>
      <c r="AG926" s="127"/>
      <c r="AH926" s="124"/>
      <c r="AI926" s="127"/>
      <c r="AJ926" s="127"/>
      <c r="AK926" s="126"/>
      <c r="AL926" s="122"/>
      <c r="AM926" s="122"/>
      <c r="AN926" s="122"/>
      <c r="AO926" s="122"/>
      <c r="AP926" s="122"/>
      <c r="AQ926" s="124"/>
    </row>
    <row r="927" spans="1:43" ht="15.75" customHeight="1">
      <c r="A927" s="122"/>
      <c r="B927" s="122"/>
      <c r="C927" s="122"/>
      <c r="D927" s="122"/>
      <c r="E927" s="122"/>
      <c r="F927" s="122"/>
      <c r="G927" s="122"/>
      <c r="H927" s="122"/>
      <c r="I927" s="122"/>
      <c r="J927" s="122"/>
      <c r="K927" s="122"/>
      <c r="L927" s="122"/>
      <c r="M927" s="123"/>
      <c r="N927" s="123"/>
      <c r="O927" s="122"/>
      <c r="P927" s="124"/>
      <c r="Q927" s="122"/>
      <c r="R927" s="122"/>
      <c r="S927" s="122"/>
      <c r="T927" s="122"/>
      <c r="U927" s="122"/>
      <c r="V927" s="124"/>
      <c r="W927" s="125"/>
      <c r="X927" s="122"/>
      <c r="Y927" s="122"/>
      <c r="Z927" s="122"/>
      <c r="AA927" s="126"/>
      <c r="AB927" s="122"/>
      <c r="AC927" s="122"/>
      <c r="AD927" s="127"/>
      <c r="AE927" s="127"/>
      <c r="AF927" s="127"/>
      <c r="AG927" s="127"/>
      <c r="AH927" s="124"/>
      <c r="AI927" s="127"/>
      <c r="AJ927" s="127"/>
      <c r="AK927" s="126"/>
      <c r="AL927" s="122"/>
      <c r="AM927" s="122"/>
      <c r="AN927" s="122"/>
      <c r="AO927" s="122"/>
      <c r="AP927" s="122"/>
      <c r="AQ927" s="124"/>
    </row>
    <row r="928" spans="1:43" ht="15.75" customHeight="1">
      <c r="A928" s="122"/>
      <c r="B928" s="122"/>
      <c r="C928" s="122"/>
      <c r="D928" s="122"/>
      <c r="E928" s="122"/>
      <c r="F928" s="122"/>
      <c r="G928" s="122"/>
      <c r="H928" s="122"/>
      <c r="I928" s="122"/>
      <c r="J928" s="122"/>
      <c r="K928" s="122"/>
      <c r="L928" s="122"/>
      <c r="M928" s="123"/>
      <c r="N928" s="123"/>
      <c r="O928" s="122"/>
      <c r="P928" s="124"/>
      <c r="Q928" s="122"/>
      <c r="R928" s="122"/>
      <c r="S928" s="122"/>
      <c r="T928" s="122"/>
      <c r="U928" s="122"/>
      <c r="V928" s="124"/>
      <c r="W928" s="125"/>
      <c r="X928" s="122"/>
      <c r="Y928" s="122"/>
      <c r="Z928" s="122"/>
      <c r="AA928" s="126"/>
      <c r="AB928" s="122"/>
      <c r="AC928" s="122"/>
      <c r="AD928" s="127"/>
      <c r="AE928" s="127"/>
      <c r="AF928" s="127"/>
      <c r="AG928" s="127"/>
      <c r="AH928" s="124"/>
      <c r="AI928" s="127"/>
      <c r="AJ928" s="127"/>
      <c r="AK928" s="126"/>
      <c r="AL928" s="122"/>
      <c r="AM928" s="122"/>
      <c r="AN928" s="122"/>
      <c r="AO928" s="122"/>
      <c r="AP928" s="122"/>
      <c r="AQ928" s="124"/>
    </row>
    <row r="929" spans="1:43" ht="15.75" customHeight="1">
      <c r="A929" s="122"/>
      <c r="B929" s="122"/>
      <c r="C929" s="122"/>
      <c r="D929" s="122"/>
      <c r="E929" s="122"/>
      <c r="F929" s="122"/>
      <c r="G929" s="122"/>
      <c r="H929" s="122"/>
      <c r="I929" s="122"/>
      <c r="J929" s="122"/>
      <c r="K929" s="122"/>
      <c r="L929" s="122"/>
      <c r="M929" s="123"/>
      <c r="N929" s="123"/>
      <c r="O929" s="122"/>
      <c r="P929" s="124"/>
      <c r="Q929" s="122"/>
      <c r="R929" s="122"/>
      <c r="S929" s="122"/>
      <c r="T929" s="122"/>
      <c r="U929" s="122"/>
      <c r="V929" s="124"/>
      <c r="W929" s="125"/>
      <c r="X929" s="122"/>
      <c r="Y929" s="122"/>
      <c r="Z929" s="122"/>
      <c r="AA929" s="126"/>
      <c r="AB929" s="122"/>
      <c r="AC929" s="122"/>
      <c r="AD929" s="127"/>
      <c r="AE929" s="127"/>
      <c r="AF929" s="127"/>
      <c r="AG929" s="127"/>
      <c r="AH929" s="124"/>
      <c r="AI929" s="127"/>
      <c r="AJ929" s="127"/>
      <c r="AK929" s="126"/>
      <c r="AL929" s="122"/>
      <c r="AM929" s="122"/>
      <c r="AN929" s="122"/>
      <c r="AO929" s="122"/>
      <c r="AP929" s="122"/>
      <c r="AQ929" s="124"/>
    </row>
    <row r="930" spans="1:43" ht="15.75" customHeight="1">
      <c r="A930" s="122"/>
      <c r="B930" s="122"/>
      <c r="C930" s="122"/>
      <c r="D930" s="122"/>
      <c r="E930" s="122"/>
      <c r="F930" s="122"/>
      <c r="G930" s="122"/>
      <c r="H930" s="122"/>
      <c r="I930" s="122"/>
      <c r="J930" s="122"/>
      <c r="K930" s="122"/>
      <c r="L930" s="122"/>
      <c r="M930" s="123"/>
      <c r="N930" s="123"/>
      <c r="O930" s="122"/>
      <c r="P930" s="124"/>
      <c r="Q930" s="122"/>
      <c r="R930" s="122"/>
      <c r="S930" s="122"/>
      <c r="T930" s="122"/>
      <c r="U930" s="122"/>
      <c r="V930" s="124"/>
      <c r="W930" s="125"/>
      <c r="X930" s="122"/>
      <c r="Y930" s="122"/>
      <c r="Z930" s="122"/>
      <c r="AA930" s="126"/>
      <c r="AB930" s="122"/>
      <c r="AC930" s="122"/>
      <c r="AD930" s="127"/>
      <c r="AE930" s="127"/>
      <c r="AF930" s="127"/>
      <c r="AG930" s="127"/>
      <c r="AH930" s="124"/>
      <c r="AI930" s="127"/>
      <c r="AJ930" s="127"/>
      <c r="AK930" s="126"/>
      <c r="AL930" s="122"/>
      <c r="AM930" s="122"/>
      <c r="AN930" s="122"/>
      <c r="AO930" s="122"/>
      <c r="AP930" s="122"/>
      <c r="AQ930" s="124"/>
    </row>
    <row r="931" spans="1:43" ht="15.75" customHeight="1">
      <c r="A931" s="122"/>
      <c r="B931" s="122"/>
      <c r="C931" s="122"/>
      <c r="D931" s="122"/>
      <c r="E931" s="122"/>
      <c r="F931" s="122"/>
      <c r="G931" s="122"/>
      <c r="H931" s="122"/>
      <c r="I931" s="122"/>
      <c r="J931" s="122"/>
      <c r="K931" s="122"/>
      <c r="L931" s="122"/>
      <c r="M931" s="123"/>
      <c r="N931" s="123"/>
      <c r="O931" s="122"/>
      <c r="P931" s="124"/>
      <c r="Q931" s="122"/>
      <c r="R931" s="122"/>
      <c r="S931" s="122"/>
      <c r="T931" s="122"/>
      <c r="U931" s="122"/>
      <c r="V931" s="124"/>
      <c r="W931" s="125"/>
      <c r="X931" s="122"/>
      <c r="Y931" s="122"/>
      <c r="Z931" s="122"/>
      <c r="AA931" s="126"/>
      <c r="AB931" s="122"/>
      <c r="AC931" s="122"/>
      <c r="AD931" s="127"/>
      <c r="AE931" s="127"/>
      <c r="AF931" s="127"/>
      <c r="AG931" s="127"/>
      <c r="AH931" s="124"/>
      <c r="AI931" s="127"/>
      <c r="AJ931" s="127"/>
      <c r="AK931" s="126"/>
      <c r="AL931" s="122"/>
      <c r="AM931" s="122"/>
      <c r="AN931" s="122"/>
      <c r="AO931" s="122"/>
      <c r="AP931" s="122"/>
      <c r="AQ931" s="124"/>
    </row>
    <row r="932" spans="1:43" ht="15.75" customHeight="1">
      <c r="A932" s="122"/>
      <c r="B932" s="122"/>
      <c r="C932" s="122"/>
      <c r="D932" s="122"/>
      <c r="E932" s="122"/>
      <c r="F932" s="122"/>
      <c r="G932" s="122"/>
      <c r="H932" s="122"/>
      <c r="I932" s="122"/>
      <c r="J932" s="122"/>
      <c r="K932" s="122"/>
      <c r="L932" s="122"/>
      <c r="M932" s="123"/>
      <c r="N932" s="123"/>
      <c r="O932" s="122"/>
      <c r="P932" s="124"/>
      <c r="Q932" s="122"/>
      <c r="R932" s="122"/>
      <c r="S932" s="122"/>
      <c r="T932" s="122"/>
      <c r="U932" s="122"/>
      <c r="V932" s="124"/>
      <c r="W932" s="125"/>
      <c r="X932" s="122"/>
      <c r="Y932" s="122"/>
      <c r="Z932" s="122"/>
      <c r="AA932" s="126"/>
      <c r="AB932" s="122"/>
      <c r="AC932" s="122"/>
      <c r="AD932" s="127"/>
      <c r="AE932" s="127"/>
      <c r="AF932" s="127"/>
      <c r="AG932" s="127"/>
      <c r="AH932" s="124"/>
      <c r="AI932" s="127"/>
      <c r="AJ932" s="127"/>
      <c r="AK932" s="126"/>
      <c r="AL932" s="122"/>
      <c r="AM932" s="122"/>
      <c r="AN932" s="122"/>
      <c r="AO932" s="122"/>
      <c r="AP932" s="122"/>
      <c r="AQ932" s="124"/>
    </row>
    <row r="933" spans="1:43" ht="15.75" customHeight="1">
      <c r="A933" s="122"/>
      <c r="B933" s="122"/>
      <c r="C933" s="122"/>
      <c r="D933" s="122"/>
      <c r="E933" s="122"/>
      <c r="F933" s="122"/>
      <c r="G933" s="122"/>
      <c r="H933" s="122"/>
      <c r="I933" s="122"/>
      <c r="J933" s="122"/>
      <c r="K933" s="122"/>
      <c r="L933" s="122"/>
      <c r="M933" s="123"/>
      <c r="N933" s="123"/>
      <c r="O933" s="122"/>
      <c r="P933" s="124"/>
      <c r="Q933" s="122"/>
      <c r="R933" s="122"/>
      <c r="S933" s="122"/>
      <c r="T933" s="122"/>
      <c r="U933" s="122"/>
      <c r="V933" s="124"/>
      <c r="W933" s="125"/>
      <c r="X933" s="122"/>
      <c r="Y933" s="122"/>
      <c r="Z933" s="122"/>
      <c r="AA933" s="126"/>
      <c r="AB933" s="122"/>
      <c r="AC933" s="122"/>
      <c r="AD933" s="127"/>
      <c r="AE933" s="127"/>
      <c r="AF933" s="127"/>
      <c r="AG933" s="127"/>
      <c r="AH933" s="124"/>
      <c r="AI933" s="127"/>
      <c r="AJ933" s="127"/>
      <c r="AK933" s="126"/>
      <c r="AL933" s="122"/>
      <c r="AM933" s="122"/>
      <c r="AN933" s="122"/>
      <c r="AO933" s="122"/>
      <c r="AP933" s="122"/>
      <c r="AQ933" s="124"/>
    </row>
    <row r="934" spans="1:43" ht="15.75" customHeight="1">
      <c r="A934" s="122"/>
      <c r="B934" s="122"/>
      <c r="C934" s="122"/>
      <c r="D934" s="122"/>
      <c r="E934" s="122"/>
      <c r="F934" s="122"/>
      <c r="G934" s="122"/>
      <c r="H934" s="122"/>
      <c r="I934" s="122"/>
      <c r="J934" s="122"/>
      <c r="K934" s="122"/>
      <c r="L934" s="122"/>
      <c r="M934" s="123"/>
      <c r="N934" s="123"/>
      <c r="O934" s="122"/>
      <c r="P934" s="124"/>
      <c r="Q934" s="122"/>
      <c r="R934" s="122"/>
      <c r="S934" s="122"/>
      <c r="T934" s="122"/>
      <c r="U934" s="122"/>
      <c r="V934" s="124"/>
      <c r="W934" s="125"/>
      <c r="X934" s="122"/>
      <c r="Y934" s="122"/>
      <c r="Z934" s="122"/>
      <c r="AA934" s="126"/>
      <c r="AB934" s="122"/>
      <c r="AC934" s="122"/>
      <c r="AD934" s="127"/>
      <c r="AE934" s="127"/>
      <c r="AF934" s="127"/>
      <c r="AG934" s="127"/>
      <c r="AH934" s="124"/>
      <c r="AI934" s="127"/>
      <c r="AJ934" s="127"/>
      <c r="AK934" s="126"/>
      <c r="AL934" s="122"/>
      <c r="AM934" s="122"/>
      <c r="AN934" s="122"/>
      <c r="AO934" s="122"/>
      <c r="AP934" s="122"/>
      <c r="AQ934" s="124"/>
    </row>
    <row r="935" spans="1:43" ht="15.75" customHeight="1">
      <c r="A935" s="122"/>
      <c r="B935" s="122"/>
      <c r="C935" s="122"/>
      <c r="D935" s="122"/>
      <c r="E935" s="122"/>
      <c r="F935" s="122"/>
      <c r="G935" s="122"/>
      <c r="H935" s="122"/>
      <c r="I935" s="122"/>
      <c r="J935" s="122"/>
      <c r="K935" s="122"/>
      <c r="L935" s="122"/>
      <c r="M935" s="123"/>
      <c r="N935" s="123"/>
      <c r="O935" s="122"/>
      <c r="P935" s="124"/>
      <c r="Q935" s="122"/>
      <c r="R935" s="122"/>
      <c r="S935" s="122"/>
      <c r="T935" s="122"/>
      <c r="U935" s="122"/>
      <c r="V935" s="124"/>
      <c r="W935" s="125"/>
      <c r="X935" s="122"/>
      <c r="Y935" s="122"/>
      <c r="Z935" s="122"/>
      <c r="AA935" s="126"/>
      <c r="AB935" s="122"/>
      <c r="AC935" s="122"/>
      <c r="AD935" s="127"/>
      <c r="AE935" s="127"/>
      <c r="AF935" s="127"/>
      <c r="AG935" s="127"/>
      <c r="AH935" s="124"/>
      <c r="AI935" s="127"/>
      <c r="AJ935" s="127"/>
      <c r="AK935" s="126"/>
      <c r="AL935" s="122"/>
      <c r="AM935" s="122"/>
      <c r="AN935" s="122"/>
      <c r="AO935" s="122"/>
      <c r="AP935" s="122"/>
      <c r="AQ935" s="124"/>
    </row>
    <row r="936" spans="1:43" ht="15.75" customHeight="1">
      <c r="A936" s="122"/>
      <c r="B936" s="122"/>
      <c r="C936" s="122"/>
      <c r="D936" s="122"/>
      <c r="E936" s="122"/>
      <c r="F936" s="122"/>
      <c r="G936" s="122"/>
      <c r="H936" s="122"/>
      <c r="I936" s="122"/>
      <c r="J936" s="122"/>
      <c r="K936" s="122"/>
      <c r="L936" s="122"/>
      <c r="M936" s="123"/>
      <c r="N936" s="123"/>
      <c r="O936" s="122"/>
      <c r="P936" s="124"/>
      <c r="Q936" s="122"/>
      <c r="R936" s="122"/>
      <c r="S936" s="122"/>
      <c r="T936" s="122"/>
      <c r="U936" s="122"/>
      <c r="V936" s="124"/>
      <c r="W936" s="125"/>
      <c r="X936" s="122"/>
      <c r="Y936" s="122"/>
      <c r="Z936" s="122"/>
      <c r="AA936" s="126"/>
      <c r="AB936" s="122"/>
      <c r="AC936" s="122"/>
      <c r="AD936" s="127"/>
      <c r="AE936" s="127"/>
      <c r="AF936" s="127"/>
      <c r="AG936" s="127"/>
      <c r="AH936" s="124"/>
      <c r="AI936" s="127"/>
      <c r="AJ936" s="127"/>
      <c r="AK936" s="126"/>
      <c r="AL936" s="122"/>
      <c r="AM936" s="122"/>
      <c r="AN936" s="122"/>
      <c r="AO936" s="122"/>
      <c r="AP936" s="122"/>
      <c r="AQ936" s="124"/>
    </row>
    <row r="937" spans="1:43" ht="15.75" customHeight="1">
      <c r="A937" s="122"/>
      <c r="B937" s="122"/>
      <c r="C937" s="122"/>
      <c r="D937" s="122"/>
      <c r="E937" s="122"/>
      <c r="F937" s="122"/>
      <c r="G937" s="122"/>
      <c r="H937" s="122"/>
      <c r="I937" s="122"/>
      <c r="J937" s="122"/>
      <c r="K937" s="122"/>
      <c r="L937" s="122"/>
      <c r="M937" s="123"/>
      <c r="N937" s="123"/>
      <c r="O937" s="122"/>
      <c r="P937" s="124"/>
      <c r="Q937" s="122"/>
      <c r="R937" s="122"/>
      <c r="S937" s="122"/>
      <c r="T937" s="122"/>
      <c r="U937" s="122"/>
      <c r="V937" s="124"/>
      <c r="W937" s="125"/>
      <c r="X937" s="122"/>
      <c r="Y937" s="122"/>
      <c r="Z937" s="122"/>
      <c r="AA937" s="126"/>
      <c r="AB937" s="122"/>
      <c r="AC937" s="122"/>
      <c r="AD937" s="127"/>
      <c r="AE937" s="127"/>
      <c r="AF937" s="127"/>
      <c r="AG937" s="127"/>
      <c r="AH937" s="124"/>
      <c r="AI937" s="127"/>
      <c r="AJ937" s="127"/>
      <c r="AK937" s="126"/>
      <c r="AL937" s="122"/>
      <c r="AM937" s="122"/>
      <c r="AN937" s="122"/>
      <c r="AO937" s="122"/>
      <c r="AP937" s="122"/>
      <c r="AQ937" s="124"/>
    </row>
    <row r="938" spans="1:43" ht="15.75" customHeight="1">
      <c r="A938" s="122"/>
      <c r="B938" s="122"/>
      <c r="C938" s="122"/>
      <c r="D938" s="122"/>
      <c r="E938" s="122"/>
      <c r="F938" s="122"/>
      <c r="G938" s="122"/>
      <c r="H938" s="122"/>
      <c r="I938" s="122"/>
      <c r="J938" s="122"/>
      <c r="K938" s="122"/>
      <c r="L938" s="122"/>
      <c r="M938" s="123"/>
      <c r="N938" s="123"/>
      <c r="O938" s="122"/>
      <c r="P938" s="124"/>
      <c r="Q938" s="122"/>
      <c r="R938" s="122"/>
      <c r="S938" s="122"/>
      <c r="T938" s="122"/>
      <c r="U938" s="122"/>
      <c r="V938" s="124"/>
      <c r="W938" s="125"/>
      <c r="X938" s="122"/>
      <c r="Y938" s="122"/>
      <c r="Z938" s="122"/>
      <c r="AA938" s="126"/>
      <c r="AB938" s="122"/>
      <c r="AC938" s="122"/>
      <c r="AD938" s="127"/>
      <c r="AE938" s="127"/>
      <c r="AF938" s="127"/>
      <c r="AG938" s="127"/>
      <c r="AH938" s="124"/>
      <c r="AI938" s="127"/>
      <c r="AJ938" s="127"/>
      <c r="AK938" s="126"/>
      <c r="AL938" s="122"/>
      <c r="AM938" s="122"/>
      <c r="AN938" s="122"/>
      <c r="AO938" s="122"/>
      <c r="AP938" s="122"/>
      <c r="AQ938" s="124"/>
    </row>
    <row r="939" spans="1:43" ht="15.75" customHeight="1">
      <c r="A939" s="122"/>
      <c r="B939" s="122"/>
      <c r="C939" s="122"/>
      <c r="D939" s="122"/>
      <c r="E939" s="122"/>
      <c r="F939" s="122"/>
      <c r="G939" s="122"/>
      <c r="H939" s="122"/>
      <c r="I939" s="122"/>
      <c r="J939" s="122"/>
      <c r="K939" s="122"/>
      <c r="L939" s="122"/>
      <c r="M939" s="123"/>
      <c r="N939" s="123"/>
      <c r="O939" s="122"/>
      <c r="P939" s="124"/>
      <c r="Q939" s="122"/>
      <c r="R939" s="122"/>
      <c r="S939" s="122"/>
      <c r="T939" s="122"/>
      <c r="U939" s="122"/>
      <c r="V939" s="124"/>
      <c r="W939" s="125"/>
      <c r="X939" s="122"/>
      <c r="Y939" s="122"/>
      <c r="Z939" s="122"/>
      <c r="AA939" s="126"/>
      <c r="AB939" s="122"/>
      <c r="AC939" s="122"/>
      <c r="AD939" s="127"/>
      <c r="AE939" s="127"/>
      <c r="AF939" s="127"/>
      <c r="AG939" s="127"/>
      <c r="AH939" s="124"/>
      <c r="AI939" s="127"/>
      <c r="AJ939" s="127"/>
      <c r="AK939" s="126"/>
      <c r="AL939" s="122"/>
      <c r="AM939" s="122"/>
      <c r="AN939" s="122"/>
      <c r="AO939" s="122"/>
      <c r="AP939" s="122"/>
      <c r="AQ939" s="124"/>
    </row>
    <row r="940" spans="1:43" ht="15.75" customHeight="1">
      <c r="A940" s="122"/>
      <c r="B940" s="122"/>
      <c r="C940" s="122"/>
      <c r="D940" s="122"/>
      <c r="E940" s="122"/>
      <c r="F940" s="122"/>
      <c r="G940" s="122"/>
      <c r="H940" s="122"/>
      <c r="I940" s="122"/>
      <c r="J940" s="122"/>
      <c r="K940" s="122"/>
      <c r="L940" s="122"/>
      <c r="M940" s="123"/>
      <c r="N940" s="123"/>
      <c r="O940" s="122"/>
      <c r="P940" s="124"/>
      <c r="Q940" s="122"/>
      <c r="R940" s="122"/>
      <c r="S940" s="122"/>
      <c r="T940" s="122"/>
      <c r="U940" s="122"/>
      <c r="V940" s="124"/>
      <c r="W940" s="125"/>
      <c r="X940" s="122"/>
      <c r="Y940" s="122"/>
      <c r="Z940" s="122"/>
      <c r="AA940" s="126"/>
      <c r="AB940" s="122"/>
      <c r="AC940" s="122"/>
      <c r="AD940" s="127"/>
      <c r="AE940" s="127"/>
      <c r="AF940" s="127"/>
      <c r="AG940" s="127"/>
      <c r="AH940" s="124"/>
      <c r="AI940" s="127"/>
      <c r="AJ940" s="127"/>
      <c r="AK940" s="126"/>
      <c r="AL940" s="122"/>
      <c r="AM940" s="122"/>
      <c r="AN940" s="122"/>
      <c r="AO940" s="122"/>
      <c r="AP940" s="122"/>
      <c r="AQ940" s="124"/>
    </row>
    <row r="941" spans="1:43" ht="15.75" customHeight="1">
      <c r="A941" s="122"/>
      <c r="B941" s="122"/>
      <c r="C941" s="122"/>
      <c r="D941" s="122"/>
      <c r="E941" s="122"/>
      <c r="F941" s="122"/>
      <c r="G941" s="122"/>
      <c r="H941" s="122"/>
      <c r="I941" s="122"/>
      <c r="J941" s="122"/>
      <c r="K941" s="122"/>
      <c r="L941" s="122"/>
      <c r="M941" s="123"/>
      <c r="N941" s="123"/>
      <c r="O941" s="122"/>
      <c r="P941" s="124"/>
      <c r="Q941" s="122"/>
      <c r="R941" s="122"/>
      <c r="S941" s="122"/>
      <c r="T941" s="122"/>
      <c r="U941" s="122"/>
      <c r="V941" s="124"/>
      <c r="W941" s="125"/>
      <c r="X941" s="122"/>
      <c r="Y941" s="122"/>
      <c r="Z941" s="122"/>
      <c r="AA941" s="126"/>
      <c r="AB941" s="122"/>
      <c r="AC941" s="122"/>
      <c r="AD941" s="127"/>
      <c r="AE941" s="127"/>
      <c r="AF941" s="127"/>
      <c r="AG941" s="127"/>
      <c r="AH941" s="124"/>
      <c r="AI941" s="127"/>
      <c r="AJ941" s="127"/>
      <c r="AK941" s="126"/>
      <c r="AL941" s="122"/>
      <c r="AM941" s="122"/>
      <c r="AN941" s="122"/>
      <c r="AO941" s="122"/>
      <c r="AP941" s="122"/>
      <c r="AQ941" s="124"/>
    </row>
    <row r="942" spans="1:43" ht="15.75" customHeight="1">
      <c r="A942" s="122"/>
      <c r="B942" s="122"/>
      <c r="C942" s="122"/>
      <c r="D942" s="122"/>
      <c r="E942" s="122"/>
      <c r="F942" s="122"/>
      <c r="G942" s="122"/>
      <c r="H942" s="122"/>
      <c r="I942" s="122"/>
      <c r="J942" s="122"/>
      <c r="K942" s="122"/>
      <c r="L942" s="122"/>
      <c r="M942" s="123"/>
      <c r="N942" s="123"/>
      <c r="O942" s="122"/>
      <c r="P942" s="124"/>
      <c r="Q942" s="122"/>
      <c r="R942" s="122"/>
      <c r="S942" s="122"/>
      <c r="T942" s="122"/>
      <c r="U942" s="122"/>
      <c r="V942" s="124"/>
      <c r="W942" s="125"/>
      <c r="X942" s="122"/>
      <c r="Y942" s="122"/>
      <c r="Z942" s="122"/>
      <c r="AA942" s="126"/>
      <c r="AB942" s="122"/>
      <c r="AC942" s="122"/>
      <c r="AD942" s="127"/>
      <c r="AE942" s="127"/>
      <c r="AF942" s="127"/>
      <c r="AG942" s="127"/>
      <c r="AH942" s="124"/>
      <c r="AI942" s="127"/>
      <c r="AJ942" s="127"/>
      <c r="AK942" s="126"/>
      <c r="AL942" s="122"/>
      <c r="AM942" s="122"/>
      <c r="AN942" s="122"/>
      <c r="AO942" s="122"/>
      <c r="AP942" s="122"/>
      <c r="AQ942" s="124"/>
    </row>
    <row r="943" spans="1:43" ht="15.75" customHeight="1">
      <c r="A943" s="122"/>
      <c r="B943" s="122"/>
      <c r="C943" s="122"/>
      <c r="D943" s="122"/>
      <c r="E943" s="122"/>
      <c r="F943" s="122"/>
      <c r="G943" s="122"/>
      <c r="H943" s="122"/>
      <c r="I943" s="122"/>
      <c r="J943" s="122"/>
      <c r="K943" s="122"/>
      <c r="L943" s="122"/>
      <c r="M943" s="123"/>
      <c r="N943" s="123"/>
      <c r="O943" s="122"/>
      <c r="P943" s="124"/>
      <c r="Q943" s="122"/>
      <c r="R943" s="122"/>
      <c r="S943" s="122"/>
      <c r="T943" s="122"/>
      <c r="U943" s="122"/>
      <c r="V943" s="124"/>
      <c r="W943" s="125"/>
      <c r="X943" s="122"/>
      <c r="Y943" s="122"/>
      <c r="Z943" s="122"/>
      <c r="AA943" s="126"/>
      <c r="AB943" s="122"/>
      <c r="AC943" s="122"/>
      <c r="AD943" s="127"/>
      <c r="AE943" s="127"/>
      <c r="AF943" s="127"/>
      <c r="AG943" s="127"/>
      <c r="AH943" s="124"/>
      <c r="AI943" s="127"/>
      <c r="AJ943" s="127"/>
      <c r="AK943" s="126"/>
      <c r="AL943" s="122"/>
      <c r="AM943" s="122"/>
      <c r="AN943" s="122"/>
      <c r="AO943" s="122"/>
      <c r="AP943" s="122"/>
      <c r="AQ943" s="124"/>
    </row>
    <row r="944" spans="1:43" ht="15.75" customHeight="1">
      <c r="A944" s="122"/>
      <c r="B944" s="122"/>
      <c r="C944" s="122"/>
      <c r="D944" s="122"/>
      <c r="E944" s="122"/>
      <c r="F944" s="122"/>
      <c r="G944" s="122"/>
      <c r="H944" s="122"/>
      <c r="I944" s="122"/>
      <c r="J944" s="122"/>
      <c r="K944" s="122"/>
      <c r="L944" s="122"/>
      <c r="M944" s="123"/>
      <c r="N944" s="123"/>
      <c r="O944" s="122"/>
      <c r="P944" s="124"/>
      <c r="Q944" s="122"/>
      <c r="R944" s="122"/>
      <c r="S944" s="122"/>
      <c r="T944" s="122"/>
      <c r="U944" s="122"/>
      <c r="V944" s="124"/>
      <c r="W944" s="125"/>
      <c r="X944" s="122"/>
      <c r="Y944" s="122"/>
      <c r="Z944" s="122"/>
      <c r="AA944" s="126"/>
      <c r="AB944" s="122"/>
      <c r="AC944" s="122"/>
      <c r="AD944" s="127"/>
      <c r="AE944" s="127"/>
      <c r="AF944" s="127"/>
      <c r="AG944" s="127"/>
      <c r="AH944" s="124"/>
      <c r="AI944" s="127"/>
      <c r="AJ944" s="127"/>
      <c r="AK944" s="126"/>
      <c r="AL944" s="122"/>
      <c r="AM944" s="122"/>
      <c r="AN944" s="122"/>
      <c r="AO944" s="122"/>
      <c r="AP944" s="122"/>
      <c r="AQ944" s="124"/>
    </row>
    <row r="945" spans="1:43" ht="15.75" customHeight="1">
      <c r="A945" s="122"/>
      <c r="B945" s="122"/>
      <c r="C945" s="122"/>
      <c r="D945" s="122"/>
      <c r="E945" s="122"/>
      <c r="F945" s="122"/>
      <c r="G945" s="122"/>
      <c r="H945" s="122"/>
      <c r="I945" s="122"/>
      <c r="J945" s="122"/>
      <c r="K945" s="122"/>
      <c r="L945" s="122"/>
      <c r="M945" s="123"/>
      <c r="N945" s="123"/>
      <c r="O945" s="122"/>
      <c r="P945" s="124"/>
      <c r="Q945" s="122"/>
      <c r="R945" s="122"/>
      <c r="S945" s="122"/>
      <c r="T945" s="122"/>
      <c r="U945" s="122"/>
      <c r="V945" s="124"/>
      <c r="W945" s="125"/>
      <c r="X945" s="122"/>
      <c r="Y945" s="122"/>
      <c r="Z945" s="122"/>
      <c r="AA945" s="126"/>
      <c r="AB945" s="122"/>
      <c r="AC945" s="122"/>
      <c r="AD945" s="127"/>
      <c r="AE945" s="127"/>
      <c r="AF945" s="127"/>
      <c r="AG945" s="127"/>
      <c r="AH945" s="124"/>
      <c r="AI945" s="127"/>
      <c r="AJ945" s="127"/>
      <c r="AK945" s="126"/>
      <c r="AL945" s="122"/>
      <c r="AM945" s="122"/>
      <c r="AN945" s="122"/>
      <c r="AO945" s="122"/>
      <c r="AP945" s="122"/>
      <c r="AQ945" s="124"/>
    </row>
    <row r="946" spans="1:43" ht="15.75" customHeight="1">
      <c r="A946" s="122"/>
      <c r="B946" s="122"/>
      <c r="C946" s="122"/>
      <c r="D946" s="122"/>
      <c r="E946" s="122"/>
      <c r="F946" s="122"/>
      <c r="G946" s="122"/>
      <c r="H946" s="122"/>
      <c r="I946" s="122"/>
      <c r="J946" s="122"/>
      <c r="K946" s="122"/>
      <c r="L946" s="122"/>
      <c r="M946" s="123"/>
      <c r="N946" s="123"/>
      <c r="O946" s="122"/>
      <c r="P946" s="124"/>
      <c r="Q946" s="122"/>
      <c r="R946" s="122"/>
      <c r="S946" s="122"/>
      <c r="T946" s="122"/>
      <c r="U946" s="122"/>
      <c r="V946" s="124"/>
      <c r="W946" s="125"/>
      <c r="X946" s="122"/>
      <c r="Y946" s="122"/>
      <c r="Z946" s="122"/>
      <c r="AA946" s="126"/>
      <c r="AB946" s="122"/>
      <c r="AC946" s="122"/>
      <c r="AD946" s="127"/>
      <c r="AE946" s="127"/>
      <c r="AF946" s="127"/>
      <c r="AG946" s="127"/>
      <c r="AH946" s="124"/>
      <c r="AI946" s="127"/>
      <c r="AJ946" s="127"/>
      <c r="AK946" s="126"/>
      <c r="AL946" s="122"/>
      <c r="AM946" s="122"/>
      <c r="AN946" s="122"/>
      <c r="AO946" s="122"/>
      <c r="AP946" s="122"/>
      <c r="AQ946" s="124"/>
    </row>
    <row r="947" spans="1:43" ht="15.75" customHeight="1">
      <c r="A947" s="122"/>
      <c r="B947" s="122"/>
      <c r="C947" s="122"/>
      <c r="D947" s="122"/>
      <c r="E947" s="122"/>
      <c r="F947" s="122"/>
      <c r="G947" s="122"/>
      <c r="H947" s="122"/>
      <c r="I947" s="122"/>
      <c r="J947" s="122"/>
      <c r="K947" s="122"/>
      <c r="L947" s="122"/>
      <c r="M947" s="123"/>
      <c r="N947" s="123"/>
      <c r="O947" s="122"/>
      <c r="P947" s="124"/>
      <c r="Q947" s="122"/>
      <c r="R947" s="122"/>
      <c r="S947" s="122"/>
      <c r="T947" s="122"/>
      <c r="U947" s="122"/>
      <c r="V947" s="124"/>
      <c r="W947" s="125"/>
      <c r="X947" s="122"/>
      <c r="Y947" s="122"/>
      <c r="Z947" s="122"/>
      <c r="AA947" s="126"/>
      <c r="AB947" s="122"/>
      <c r="AC947" s="122"/>
      <c r="AD947" s="127"/>
      <c r="AE947" s="127"/>
      <c r="AF947" s="127"/>
      <c r="AG947" s="127"/>
      <c r="AH947" s="124"/>
      <c r="AI947" s="127"/>
      <c r="AJ947" s="127"/>
      <c r="AK947" s="126"/>
      <c r="AL947" s="122"/>
      <c r="AM947" s="122"/>
      <c r="AN947" s="122"/>
      <c r="AO947" s="122"/>
      <c r="AP947" s="122"/>
      <c r="AQ947" s="124"/>
    </row>
    <row r="948" spans="1:43" ht="15.75" customHeight="1">
      <c r="A948" s="122"/>
      <c r="B948" s="122"/>
      <c r="C948" s="122"/>
      <c r="D948" s="122"/>
      <c r="E948" s="122"/>
      <c r="F948" s="122"/>
      <c r="G948" s="122"/>
      <c r="H948" s="122"/>
      <c r="I948" s="122"/>
      <c r="J948" s="122"/>
      <c r="K948" s="122"/>
      <c r="L948" s="122"/>
      <c r="M948" s="123"/>
      <c r="N948" s="123"/>
      <c r="O948" s="122"/>
      <c r="P948" s="124"/>
      <c r="Q948" s="122"/>
      <c r="R948" s="122"/>
      <c r="S948" s="122"/>
      <c r="T948" s="122"/>
      <c r="U948" s="122"/>
      <c r="V948" s="124"/>
      <c r="W948" s="125"/>
      <c r="X948" s="122"/>
      <c r="Y948" s="122"/>
      <c r="Z948" s="122"/>
      <c r="AA948" s="126"/>
      <c r="AB948" s="122"/>
      <c r="AC948" s="122"/>
      <c r="AD948" s="127"/>
      <c r="AE948" s="127"/>
      <c r="AF948" s="127"/>
      <c r="AG948" s="127"/>
      <c r="AH948" s="124"/>
      <c r="AI948" s="127"/>
      <c r="AJ948" s="127"/>
      <c r="AK948" s="126"/>
      <c r="AL948" s="122"/>
      <c r="AM948" s="122"/>
      <c r="AN948" s="122"/>
      <c r="AO948" s="122"/>
      <c r="AP948" s="122"/>
      <c r="AQ948" s="124"/>
    </row>
    <row r="949" spans="1:43" ht="15.75" customHeight="1">
      <c r="A949" s="122"/>
      <c r="B949" s="122"/>
      <c r="C949" s="122"/>
      <c r="D949" s="122"/>
      <c r="E949" s="122"/>
      <c r="F949" s="122"/>
      <c r="G949" s="122"/>
      <c r="H949" s="122"/>
      <c r="I949" s="122"/>
      <c r="J949" s="122"/>
      <c r="K949" s="122"/>
      <c r="L949" s="122"/>
      <c r="M949" s="123"/>
      <c r="N949" s="123"/>
      <c r="O949" s="122"/>
      <c r="P949" s="124"/>
      <c r="Q949" s="122"/>
      <c r="R949" s="122"/>
      <c r="S949" s="122"/>
      <c r="T949" s="122"/>
      <c r="U949" s="122"/>
      <c r="V949" s="124"/>
      <c r="W949" s="125"/>
      <c r="X949" s="122"/>
      <c r="Y949" s="122"/>
      <c r="Z949" s="122"/>
      <c r="AA949" s="126"/>
      <c r="AB949" s="122"/>
      <c r="AC949" s="122"/>
      <c r="AD949" s="127"/>
      <c r="AE949" s="127"/>
      <c r="AF949" s="127"/>
      <c r="AG949" s="127"/>
      <c r="AH949" s="124"/>
      <c r="AI949" s="127"/>
      <c r="AJ949" s="127"/>
      <c r="AK949" s="126"/>
      <c r="AL949" s="122"/>
      <c r="AM949" s="122"/>
      <c r="AN949" s="122"/>
      <c r="AO949" s="122"/>
      <c r="AP949" s="122"/>
      <c r="AQ949" s="124"/>
    </row>
    <row r="950" spans="1:43" ht="15.75" customHeight="1">
      <c r="A950" s="122"/>
      <c r="B950" s="122"/>
      <c r="C950" s="122"/>
      <c r="D950" s="122"/>
      <c r="E950" s="122"/>
      <c r="F950" s="122"/>
      <c r="G950" s="122"/>
      <c r="H950" s="122"/>
      <c r="I950" s="122"/>
      <c r="J950" s="122"/>
      <c r="K950" s="122"/>
      <c r="L950" s="122"/>
      <c r="M950" s="123"/>
      <c r="N950" s="123"/>
      <c r="O950" s="122"/>
      <c r="P950" s="124"/>
      <c r="Q950" s="122"/>
      <c r="R950" s="122"/>
      <c r="S950" s="122"/>
      <c r="T950" s="122"/>
      <c r="U950" s="122"/>
      <c r="V950" s="124"/>
      <c r="W950" s="125"/>
      <c r="X950" s="122"/>
      <c r="Y950" s="122"/>
      <c r="Z950" s="122"/>
      <c r="AA950" s="126"/>
      <c r="AB950" s="122"/>
      <c r="AC950" s="122"/>
      <c r="AD950" s="127"/>
      <c r="AE950" s="127"/>
      <c r="AF950" s="127"/>
      <c r="AG950" s="127"/>
      <c r="AH950" s="124"/>
      <c r="AI950" s="127"/>
      <c r="AJ950" s="127"/>
      <c r="AK950" s="126"/>
      <c r="AL950" s="122"/>
      <c r="AM950" s="122"/>
      <c r="AN950" s="122"/>
      <c r="AO950" s="122"/>
      <c r="AP950" s="122"/>
      <c r="AQ950" s="124"/>
    </row>
    <row r="951" spans="1:43" ht="15.75" customHeight="1">
      <c r="A951" s="122"/>
      <c r="B951" s="122"/>
      <c r="C951" s="122"/>
      <c r="D951" s="122"/>
      <c r="E951" s="122"/>
      <c r="F951" s="122"/>
      <c r="G951" s="122"/>
      <c r="H951" s="122"/>
      <c r="I951" s="122"/>
      <c r="J951" s="122"/>
      <c r="K951" s="122"/>
      <c r="L951" s="122"/>
      <c r="M951" s="123"/>
      <c r="N951" s="123"/>
      <c r="O951" s="122"/>
      <c r="P951" s="124"/>
      <c r="Q951" s="122"/>
      <c r="R951" s="122"/>
      <c r="S951" s="122"/>
      <c r="T951" s="122"/>
      <c r="U951" s="122"/>
      <c r="V951" s="124"/>
      <c r="W951" s="125"/>
      <c r="X951" s="122"/>
      <c r="Y951" s="122"/>
      <c r="Z951" s="122"/>
      <c r="AA951" s="126"/>
      <c r="AB951" s="122"/>
      <c r="AC951" s="122"/>
      <c r="AD951" s="127"/>
      <c r="AE951" s="127"/>
      <c r="AF951" s="127"/>
      <c r="AG951" s="127"/>
      <c r="AH951" s="124"/>
      <c r="AI951" s="127"/>
      <c r="AJ951" s="127"/>
      <c r="AK951" s="126"/>
      <c r="AL951" s="122"/>
      <c r="AM951" s="122"/>
      <c r="AN951" s="122"/>
      <c r="AO951" s="122"/>
      <c r="AP951" s="122"/>
      <c r="AQ951" s="124"/>
    </row>
    <row r="952" spans="1:43" ht="15.75" customHeight="1">
      <c r="A952" s="122"/>
      <c r="B952" s="122"/>
      <c r="C952" s="122"/>
      <c r="D952" s="122"/>
      <c r="E952" s="122"/>
      <c r="F952" s="122"/>
      <c r="G952" s="122"/>
      <c r="H952" s="122"/>
      <c r="I952" s="122"/>
      <c r="J952" s="122"/>
      <c r="K952" s="122"/>
      <c r="L952" s="122"/>
      <c r="M952" s="123"/>
      <c r="N952" s="123"/>
      <c r="O952" s="122"/>
      <c r="P952" s="124"/>
      <c r="Q952" s="122"/>
      <c r="R952" s="122"/>
      <c r="S952" s="122"/>
      <c r="T952" s="122"/>
      <c r="U952" s="122"/>
      <c r="V952" s="124"/>
      <c r="W952" s="125"/>
      <c r="X952" s="122"/>
      <c r="Y952" s="122"/>
      <c r="Z952" s="122"/>
      <c r="AA952" s="126"/>
      <c r="AB952" s="122"/>
      <c r="AC952" s="122"/>
      <c r="AD952" s="127"/>
      <c r="AE952" s="127"/>
      <c r="AF952" s="127"/>
      <c r="AG952" s="127"/>
      <c r="AH952" s="124"/>
      <c r="AI952" s="127"/>
      <c r="AJ952" s="127"/>
      <c r="AK952" s="126"/>
      <c r="AL952" s="122"/>
      <c r="AM952" s="122"/>
      <c r="AN952" s="122"/>
      <c r="AO952" s="122"/>
      <c r="AP952" s="122"/>
      <c r="AQ952" s="124"/>
    </row>
    <row r="953" spans="1:43" ht="15.75" customHeight="1">
      <c r="A953" s="122"/>
      <c r="B953" s="122"/>
      <c r="C953" s="122"/>
      <c r="D953" s="122"/>
      <c r="E953" s="122"/>
      <c r="F953" s="122"/>
      <c r="G953" s="122"/>
      <c r="H953" s="122"/>
      <c r="I953" s="122"/>
      <c r="J953" s="122"/>
      <c r="K953" s="122"/>
      <c r="L953" s="122"/>
      <c r="M953" s="123"/>
      <c r="N953" s="123"/>
      <c r="O953" s="122"/>
      <c r="P953" s="124"/>
      <c r="Q953" s="122"/>
      <c r="R953" s="122"/>
      <c r="S953" s="122"/>
      <c r="T953" s="122"/>
      <c r="U953" s="122"/>
      <c r="V953" s="124"/>
      <c r="W953" s="125"/>
      <c r="X953" s="122"/>
      <c r="Y953" s="122"/>
      <c r="Z953" s="122"/>
      <c r="AA953" s="126"/>
      <c r="AB953" s="122"/>
      <c r="AC953" s="122"/>
      <c r="AD953" s="127"/>
      <c r="AE953" s="127"/>
      <c r="AF953" s="127"/>
      <c r="AG953" s="127"/>
      <c r="AH953" s="124"/>
      <c r="AI953" s="127"/>
      <c r="AJ953" s="127"/>
      <c r="AK953" s="126"/>
      <c r="AL953" s="122"/>
      <c r="AM953" s="122"/>
      <c r="AN953" s="122"/>
      <c r="AO953" s="122"/>
      <c r="AP953" s="122"/>
      <c r="AQ953" s="124"/>
    </row>
    <row r="954" spans="1:43" ht="15.75" customHeight="1">
      <c r="A954" s="122"/>
      <c r="B954" s="122"/>
      <c r="C954" s="122"/>
      <c r="D954" s="122"/>
      <c r="E954" s="122"/>
      <c r="F954" s="122"/>
      <c r="G954" s="122"/>
      <c r="H954" s="122"/>
      <c r="I954" s="122"/>
      <c r="J954" s="122"/>
      <c r="K954" s="122"/>
      <c r="L954" s="122"/>
      <c r="M954" s="123"/>
      <c r="N954" s="123"/>
      <c r="O954" s="122"/>
      <c r="P954" s="124"/>
      <c r="Q954" s="122"/>
      <c r="R954" s="122"/>
      <c r="S954" s="122"/>
      <c r="T954" s="122"/>
      <c r="U954" s="122"/>
      <c r="V954" s="124"/>
      <c r="W954" s="125"/>
      <c r="X954" s="122"/>
      <c r="Y954" s="122"/>
      <c r="Z954" s="122"/>
      <c r="AA954" s="126"/>
      <c r="AB954" s="122"/>
      <c r="AC954" s="122"/>
      <c r="AD954" s="127"/>
      <c r="AE954" s="127"/>
      <c r="AF954" s="127"/>
      <c r="AG954" s="127"/>
      <c r="AH954" s="124"/>
      <c r="AI954" s="127"/>
      <c r="AJ954" s="127"/>
      <c r="AK954" s="126"/>
      <c r="AL954" s="122"/>
      <c r="AM954" s="122"/>
      <c r="AN954" s="122"/>
      <c r="AO954" s="122"/>
      <c r="AP954" s="122"/>
      <c r="AQ954" s="124"/>
    </row>
    <row r="955" spans="1:43" ht="15.75" customHeight="1">
      <c r="A955" s="122"/>
      <c r="B955" s="122"/>
      <c r="C955" s="122"/>
      <c r="D955" s="122"/>
      <c r="E955" s="122"/>
      <c r="F955" s="122"/>
      <c r="G955" s="122"/>
      <c r="H955" s="122"/>
      <c r="I955" s="122"/>
      <c r="J955" s="122"/>
      <c r="K955" s="122"/>
      <c r="L955" s="122"/>
      <c r="M955" s="123"/>
      <c r="N955" s="123"/>
      <c r="O955" s="122"/>
      <c r="P955" s="124"/>
      <c r="Q955" s="122"/>
      <c r="R955" s="122"/>
      <c r="S955" s="122"/>
      <c r="T955" s="122"/>
      <c r="U955" s="122"/>
      <c r="V955" s="124"/>
      <c r="W955" s="125"/>
      <c r="X955" s="122"/>
      <c r="Y955" s="122"/>
      <c r="Z955" s="122"/>
      <c r="AA955" s="126"/>
      <c r="AB955" s="122"/>
      <c r="AC955" s="122"/>
      <c r="AD955" s="127"/>
      <c r="AE955" s="127"/>
      <c r="AF955" s="127"/>
      <c r="AG955" s="127"/>
      <c r="AH955" s="124"/>
      <c r="AI955" s="127"/>
      <c r="AJ955" s="127"/>
      <c r="AK955" s="126"/>
      <c r="AL955" s="122"/>
      <c r="AM955" s="122"/>
      <c r="AN955" s="122"/>
      <c r="AO955" s="122"/>
      <c r="AP955" s="122"/>
      <c r="AQ955" s="124"/>
    </row>
    <row r="956" spans="1:43" ht="15.75" customHeight="1">
      <c r="A956" s="122"/>
      <c r="B956" s="122"/>
      <c r="C956" s="122"/>
      <c r="D956" s="122"/>
      <c r="E956" s="122"/>
      <c r="F956" s="122"/>
      <c r="G956" s="122"/>
      <c r="H956" s="122"/>
      <c r="I956" s="122"/>
      <c r="J956" s="122"/>
      <c r="K956" s="122"/>
      <c r="L956" s="122"/>
      <c r="M956" s="123"/>
      <c r="N956" s="123"/>
      <c r="O956" s="122"/>
      <c r="P956" s="124"/>
      <c r="Q956" s="122"/>
      <c r="R956" s="122"/>
      <c r="S956" s="122"/>
      <c r="T956" s="122"/>
      <c r="U956" s="122"/>
      <c r="V956" s="124"/>
      <c r="W956" s="125"/>
      <c r="X956" s="122"/>
      <c r="Y956" s="122"/>
      <c r="Z956" s="122"/>
      <c r="AA956" s="126"/>
      <c r="AB956" s="122"/>
      <c r="AC956" s="122"/>
      <c r="AD956" s="127"/>
      <c r="AE956" s="127"/>
      <c r="AF956" s="127"/>
      <c r="AG956" s="127"/>
      <c r="AH956" s="124"/>
      <c r="AI956" s="127"/>
      <c r="AJ956" s="127"/>
      <c r="AK956" s="126"/>
      <c r="AL956" s="122"/>
      <c r="AM956" s="122"/>
      <c r="AN956" s="122"/>
      <c r="AO956" s="122"/>
      <c r="AP956" s="122"/>
      <c r="AQ956" s="124"/>
    </row>
    <row r="957" spans="1:43" ht="15.75" customHeight="1">
      <c r="A957" s="122"/>
      <c r="B957" s="122"/>
      <c r="C957" s="122"/>
      <c r="D957" s="122"/>
      <c r="E957" s="122"/>
      <c r="F957" s="122"/>
      <c r="G957" s="122"/>
      <c r="H957" s="122"/>
      <c r="I957" s="122"/>
      <c r="J957" s="122"/>
      <c r="K957" s="122"/>
      <c r="L957" s="122"/>
      <c r="M957" s="123"/>
      <c r="N957" s="123"/>
      <c r="O957" s="122"/>
      <c r="P957" s="124"/>
      <c r="Q957" s="122"/>
      <c r="R957" s="122"/>
      <c r="S957" s="122"/>
      <c r="T957" s="122"/>
      <c r="U957" s="122"/>
      <c r="V957" s="124"/>
      <c r="W957" s="125"/>
      <c r="X957" s="122"/>
      <c r="Y957" s="122"/>
      <c r="Z957" s="122"/>
      <c r="AA957" s="126"/>
      <c r="AB957" s="122"/>
      <c r="AC957" s="122"/>
      <c r="AD957" s="127"/>
      <c r="AE957" s="127"/>
      <c r="AF957" s="127"/>
      <c r="AG957" s="127"/>
      <c r="AH957" s="124"/>
      <c r="AI957" s="127"/>
      <c r="AJ957" s="127"/>
      <c r="AK957" s="126"/>
      <c r="AL957" s="122"/>
      <c r="AM957" s="122"/>
      <c r="AN957" s="122"/>
      <c r="AO957" s="122"/>
      <c r="AP957" s="122"/>
      <c r="AQ957" s="124"/>
    </row>
    <row r="958" spans="1:43" ht="15.75" customHeight="1">
      <c r="A958" s="122"/>
      <c r="B958" s="122"/>
      <c r="C958" s="122"/>
      <c r="D958" s="122"/>
      <c r="E958" s="122"/>
      <c r="F958" s="122"/>
      <c r="G958" s="122"/>
      <c r="H958" s="122"/>
      <c r="I958" s="122"/>
      <c r="J958" s="122"/>
      <c r="K958" s="122"/>
      <c r="L958" s="122"/>
      <c r="M958" s="123"/>
      <c r="N958" s="123"/>
      <c r="O958" s="122"/>
      <c r="P958" s="124"/>
      <c r="Q958" s="122"/>
      <c r="R958" s="122"/>
      <c r="S958" s="122"/>
      <c r="T958" s="122"/>
      <c r="U958" s="122"/>
      <c r="V958" s="124"/>
      <c r="W958" s="125"/>
      <c r="X958" s="122"/>
      <c r="Y958" s="122"/>
      <c r="Z958" s="122"/>
      <c r="AA958" s="126"/>
      <c r="AB958" s="122"/>
      <c r="AC958" s="122"/>
      <c r="AD958" s="127"/>
      <c r="AE958" s="127"/>
      <c r="AF958" s="127"/>
      <c r="AG958" s="127"/>
      <c r="AH958" s="124"/>
      <c r="AI958" s="127"/>
      <c r="AJ958" s="127"/>
      <c r="AK958" s="126"/>
      <c r="AL958" s="122"/>
      <c r="AM958" s="122"/>
      <c r="AN958" s="122"/>
      <c r="AO958" s="122"/>
      <c r="AP958" s="122"/>
      <c r="AQ958" s="124"/>
    </row>
    <row r="959" spans="1:43" ht="15.75" customHeight="1">
      <c r="A959" s="122"/>
      <c r="B959" s="122"/>
      <c r="C959" s="122"/>
      <c r="D959" s="122"/>
      <c r="E959" s="122"/>
      <c r="F959" s="122"/>
      <c r="G959" s="122"/>
      <c r="H959" s="122"/>
      <c r="I959" s="122"/>
      <c r="J959" s="122"/>
      <c r="K959" s="122"/>
      <c r="L959" s="122"/>
      <c r="M959" s="123"/>
      <c r="N959" s="123"/>
      <c r="O959" s="122"/>
      <c r="P959" s="124"/>
      <c r="Q959" s="122"/>
      <c r="R959" s="122"/>
      <c r="S959" s="122"/>
      <c r="T959" s="122"/>
      <c r="U959" s="122"/>
      <c r="V959" s="124"/>
      <c r="W959" s="125"/>
      <c r="X959" s="122"/>
      <c r="Y959" s="122"/>
      <c r="Z959" s="122"/>
      <c r="AA959" s="126"/>
      <c r="AB959" s="122"/>
      <c r="AC959" s="122"/>
      <c r="AD959" s="127"/>
      <c r="AE959" s="127"/>
      <c r="AF959" s="127"/>
      <c r="AG959" s="127"/>
      <c r="AH959" s="124"/>
      <c r="AI959" s="127"/>
      <c r="AJ959" s="127"/>
      <c r="AK959" s="126"/>
      <c r="AL959" s="122"/>
      <c r="AM959" s="122"/>
      <c r="AN959" s="122"/>
      <c r="AO959" s="122"/>
      <c r="AP959" s="122"/>
      <c r="AQ959" s="124"/>
    </row>
    <row r="960" spans="1:43" ht="15.75" customHeight="1">
      <c r="A960" s="122"/>
      <c r="B960" s="122"/>
      <c r="C960" s="122"/>
      <c r="D960" s="122"/>
      <c r="E960" s="122"/>
      <c r="F960" s="122"/>
      <c r="G960" s="122"/>
      <c r="H960" s="122"/>
      <c r="I960" s="122"/>
      <c r="J960" s="122"/>
      <c r="K960" s="122"/>
      <c r="L960" s="122"/>
      <c r="M960" s="123"/>
      <c r="N960" s="123"/>
      <c r="O960" s="122"/>
      <c r="P960" s="124"/>
      <c r="Q960" s="122"/>
      <c r="R960" s="122"/>
      <c r="S960" s="122"/>
      <c r="T960" s="122"/>
      <c r="U960" s="122"/>
      <c r="V960" s="124"/>
      <c r="W960" s="125"/>
      <c r="X960" s="122"/>
      <c r="Y960" s="122"/>
      <c r="Z960" s="122"/>
      <c r="AA960" s="126"/>
      <c r="AB960" s="122"/>
      <c r="AC960" s="122"/>
      <c r="AD960" s="127"/>
      <c r="AE960" s="127"/>
      <c r="AF960" s="127"/>
      <c r="AG960" s="127"/>
      <c r="AH960" s="124"/>
      <c r="AI960" s="127"/>
      <c r="AJ960" s="127"/>
      <c r="AK960" s="126"/>
      <c r="AL960" s="122"/>
      <c r="AM960" s="122"/>
      <c r="AN960" s="122"/>
      <c r="AO960" s="122"/>
      <c r="AP960" s="122"/>
      <c r="AQ960" s="124"/>
    </row>
    <row r="961" spans="1:43" ht="15.75" customHeight="1">
      <c r="A961" s="122"/>
      <c r="B961" s="122"/>
      <c r="C961" s="122"/>
      <c r="D961" s="122"/>
      <c r="E961" s="122"/>
      <c r="F961" s="122"/>
      <c r="G961" s="122"/>
      <c r="H961" s="122"/>
      <c r="I961" s="122"/>
      <c r="J961" s="122"/>
      <c r="K961" s="122"/>
      <c r="L961" s="122"/>
      <c r="M961" s="123"/>
      <c r="N961" s="123"/>
      <c r="O961" s="122"/>
      <c r="P961" s="124"/>
      <c r="Q961" s="122"/>
      <c r="R961" s="122"/>
      <c r="S961" s="122"/>
      <c r="T961" s="122"/>
      <c r="U961" s="122"/>
      <c r="V961" s="124"/>
      <c r="W961" s="125"/>
      <c r="X961" s="122"/>
      <c r="Y961" s="122"/>
      <c r="Z961" s="122"/>
      <c r="AA961" s="126"/>
      <c r="AB961" s="122"/>
      <c r="AC961" s="122"/>
      <c r="AD961" s="127"/>
      <c r="AE961" s="127"/>
      <c r="AF961" s="127"/>
      <c r="AG961" s="127"/>
      <c r="AH961" s="124"/>
      <c r="AI961" s="127"/>
      <c r="AJ961" s="127"/>
      <c r="AK961" s="126"/>
      <c r="AL961" s="122"/>
      <c r="AM961" s="122"/>
      <c r="AN961" s="122"/>
      <c r="AO961" s="122"/>
      <c r="AP961" s="122"/>
      <c r="AQ961" s="124"/>
    </row>
    <row r="962" spans="1:43" ht="15.75" customHeight="1">
      <c r="A962" s="122"/>
      <c r="B962" s="122"/>
      <c r="C962" s="122"/>
      <c r="D962" s="122"/>
      <c r="E962" s="122"/>
      <c r="F962" s="122"/>
      <c r="G962" s="122"/>
      <c r="H962" s="122"/>
      <c r="I962" s="122"/>
      <c r="J962" s="122"/>
      <c r="K962" s="122"/>
      <c r="L962" s="122"/>
      <c r="M962" s="123"/>
      <c r="N962" s="123"/>
      <c r="O962" s="122"/>
      <c r="P962" s="124"/>
      <c r="Q962" s="122"/>
      <c r="R962" s="122"/>
      <c r="S962" s="122"/>
      <c r="T962" s="122"/>
      <c r="U962" s="122"/>
      <c r="V962" s="124"/>
      <c r="W962" s="125"/>
      <c r="X962" s="122"/>
      <c r="Y962" s="122"/>
      <c r="Z962" s="122"/>
      <c r="AA962" s="126"/>
      <c r="AB962" s="122"/>
      <c r="AC962" s="122"/>
      <c r="AD962" s="127"/>
      <c r="AE962" s="127"/>
      <c r="AF962" s="127"/>
      <c r="AG962" s="127"/>
      <c r="AH962" s="124"/>
      <c r="AI962" s="127"/>
      <c r="AJ962" s="127"/>
      <c r="AK962" s="126"/>
      <c r="AL962" s="122"/>
      <c r="AM962" s="122"/>
      <c r="AN962" s="122"/>
      <c r="AO962" s="122"/>
      <c r="AP962" s="122"/>
      <c r="AQ962" s="124"/>
    </row>
    <row r="963" spans="1:43" ht="15.75" customHeight="1">
      <c r="A963" s="122"/>
      <c r="B963" s="122"/>
      <c r="C963" s="122"/>
      <c r="D963" s="122"/>
      <c r="E963" s="122"/>
      <c r="F963" s="122"/>
      <c r="G963" s="122"/>
      <c r="H963" s="122"/>
      <c r="I963" s="122"/>
      <c r="J963" s="122"/>
      <c r="K963" s="122"/>
      <c r="L963" s="122"/>
      <c r="M963" s="123"/>
      <c r="N963" s="123"/>
      <c r="O963" s="122"/>
      <c r="P963" s="124"/>
      <c r="Q963" s="122"/>
      <c r="R963" s="122"/>
      <c r="S963" s="122"/>
      <c r="T963" s="122"/>
      <c r="U963" s="122"/>
      <c r="V963" s="124"/>
      <c r="W963" s="125"/>
      <c r="X963" s="122"/>
      <c r="Y963" s="122"/>
      <c r="Z963" s="122"/>
      <c r="AA963" s="126"/>
      <c r="AB963" s="122"/>
      <c r="AC963" s="122"/>
      <c r="AD963" s="127"/>
      <c r="AE963" s="127"/>
      <c r="AF963" s="127"/>
      <c r="AG963" s="127"/>
      <c r="AH963" s="124"/>
      <c r="AI963" s="127"/>
      <c r="AJ963" s="127"/>
      <c r="AK963" s="126"/>
      <c r="AL963" s="122"/>
      <c r="AM963" s="122"/>
      <c r="AN963" s="122"/>
      <c r="AO963" s="122"/>
      <c r="AP963" s="122"/>
      <c r="AQ963" s="124"/>
    </row>
    <row r="964" spans="1:43" ht="15.75" customHeight="1">
      <c r="A964" s="122"/>
      <c r="B964" s="122"/>
      <c r="C964" s="122"/>
      <c r="D964" s="122"/>
      <c r="E964" s="122"/>
      <c r="F964" s="122"/>
      <c r="G964" s="122"/>
      <c r="H964" s="122"/>
      <c r="I964" s="122"/>
      <c r="J964" s="122"/>
      <c r="K964" s="122"/>
      <c r="L964" s="122"/>
      <c r="M964" s="123"/>
      <c r="N964" s="123"/>
      <c r="O964" s="122"/>
      <c r="P964" s="124"/>
      <c r="Q964" s="122"/>
      <c r="R964" s="122"/>
      <c r="S964" s="122"/>
      <c r="T964" s="122"/>
      <c r="U964" s="122"/>
      <c r="V964" s="124"/>
      <c r="W964" s="125"/>
      <c r="X964" s="122"/>
      <c r="Y964" s="122"/>
      <c r="Z964" s="122"/>
      <c r="AA964" s="126"/>
      <c r="AB964" s="122"/>
      <c r="AC964" s="122"/>
      <c r="AD964" s="127"/>
      <c r="AE964" s="127"/>
      <c r="AF964" s="127"/>
      <c r="AG964" s="127"/>
      <c r="AH964" s="124"/>
      <c r="AI964" s="127"/>
      <c r="AJ964" s="127"/>
      <c r="AK964" s="126"/>
      <c r="AL964" s="122"/>
      <c r="AM964" s="122"/>
      <c r="AN964" s="122"/>
      <c r="AO964" s="122"/>
      <c r="AP964" s="122"/>
      <c r="AQ964" s="124"/>
    </row>
    <row r="965" spans="1:43" ht="15.75" customHeight="1">
      <c r="A965" s="122"/>
      <c r="B965" s="122"/>
      <c r="C965" s="122"/>
      <c r="D965" s="122"/>
      <c r="E965" s="122"/>
      <c r="F965" s="122"/>
      <c r="G965" s="122"/>
      <c r="H965" s="122"/>
      <c r="I965" s="122"/>
      <c r="J965" s="122"/>
      <c r="K965" s="122"/>
      <c r="L965" s="122"/>
      <c r="M965" s="123"/>
      <c r="N965" s="123"/>
      <c r="O965" s="122"/>
      <c r="P965" s="124"/>
      <c r="Q965" s="122"/>
      <c r="R965" s="122"/>
      <c r="S965" s="122"/>
      <c r="T965" s="122"/>
      <c r="U965" s="122"/>
      <c r="V965" s="124"/>
      <c r="W965" s="125"/>
      <c r="X965" s="122"/>
      <c r="Y965" s="122"/>
      <c r="Z965" s="122"/>
      <c r="AA965" s="126"/>
      <c r="AB965" s="122"/>
      <c r="AC965" s="122"/>
      <c r="AD965" s="127"/>
      <c r="AE965" s="127"/>
      <c r="AF965" s="127"/>
      <c r="AG965" s="127"/>
      <c r="AH965" s="124"/>
      <c r="AI965" s="127"/>
      <c r="AJ965" s="127"/>
      <c r="AK965" s="126"/>
      <c r="AL965" s="122"/>
      <c r="AM965" s="122"/>
      <c r="AN965" s="122"/>
      <c r="AO965" s="122"/>
      <c r="AP965" s="122"/>
      <c r="AQ965" s="124"/>
    </row>
    <row r="966" spans="1:43" ht="15.75" customHeight="1">
      <c r="A966" s="122"/>
      <c r="B966" s="122"/>
      <c r="C966" s="122"/>
      <c r="D966" s="122"/>
      <c r="E966" s="122"/>
      <c r="F966" s="122"/>
      <c r="G966" s="122"/>
      <c r="H966" s="122"/>
      <c r="I966" s="122"/>
      <c r="J966" s="122"/>
      <c r="K966" s="122"/>
      <c r="L966" s="122"/>
      <c r="M966" s="123"/>
      <c r="N966" s="123"/>
      <c r="O966" s="122"/>
      <c r="P966" s="124"/>
      <c r="Q966" s="122"/>
      <c r="R966" s="122"/>
      <c r="S966" s="122"/>
      <c r="T966" s="122"/>
      <c r="U966" s="122"/>
      <c r="V966" s="124"/>
      <c r="W966" s="125"/>
      <c r="X966" s="122"/>
      <c r="Y966" s="122"/>
      <c r="Z966" s="122"/>
      <c r="AA966" s="126"/>
      <c r="AB966" s="122"/>
      <c r="AC966" s="122"/>
      <c r="AD966" s="127"/>
      <c r="AE966" s="127"/>
      <c r="AF966" s="127"/>
      <c r="AG966" s="127"/>
      <c r="AH966" s="124"/>
      <c r="AI966" s="127"/>
      <c r="AJ966" s="127"/>
      <c r="AK966" s="126"/>
      <c r="AL966" s="122"/>
      <c r="AM966" s="122"/>
      <c r="AN966" s="122"/>
      <c r="AO966" s="122"/>
      <c r="AP966" s="122"/>
      <c r="AQ966" s="124"/>
    </row>
    <row r="967" spans="1:43" ht="15.75" customHeight="1">
      <c r="A967" s="122"/>
      <c r="B967" s="122"/>
      <c r="C967" s="122"/>
      <c r="D967" s="122"/>
      <c r="E967" s="122"/>
      <c r="F967" s="122"/>
      <c r="G967" s="122"/>
      <c r="H967" s="122"/>
      <c r="I967" s="122"/>
      <c r="J967" s="122"/>
      <c r="K967" s="122"/>
      <c r="L967" s="122"/>
      <c r="M967" s="123"/>
      <c r="N967" s="123"/>
      <c r="O967" s="122"/>
      <c r="P967" s="124"/>
      <c r="Q967" s="122"/>
      <c r="R967" s="122"/>
      <c r="S967" s="122"/>
      <c r="T967" s="122"/>
      <c r="U967" s="122"/>
      <c r="V967" s="124"/>
      <c r="W967" s="125"/>
      <c r="X967" s="122"/>
      <c r="Y967" s="122"/>
      <c r="Z967" s="122"/>
      <c r="AA967" s="126"/>
      <c r="AB967" s="122"/>
      <c r="AC967" s="122"/>
      <c r="AD967" s="127"/>
      <c r="AE967" s="127"/>
      <c r="AF967" s="127"/>
      <c r="AG967" s="127"/>
      <c r="AH967" s="124"/>
      <c r="AI967" s="127"/>
      <c r="AJ967" s="127"/>
      <c r="AK967" s="126"/>
      <c r="AL967" s="122"/>
      <c r="AM967" s="122"/>
      <c r="AN967" s="122"/>
      <c r="AO967" s="122"/>
      <c r="AP967" s="122"/>
      <c r="AQ967" s="124"/>
    </row>
    <row r="968" spans="1:43" ht="15.75" customHeight="1">
      <c r="A968" s="122"/>
      <c r="B968" s="122"/>
      <c r="C968" s="122"/>
      <c r="D968" s="122"/>
      <c r="E968" s="122"/>
      <c r="F968" s="122"/>
      <c r="G968" s="122"/>
      <c r="H968" s="122"/>
      <c r="I968" s="122"/>
      <c r="J968" s="122"/>
      <c r="K968" s="122"/>
      <c r="L968" s="122"/>
      <c r="M968" s="123"/>
      <c r="N968" s="123"/>
      <c r="O968" s="122"/>
      <c r="P968" s="124"/>
      <c r="Q968" s="122"/>
      <c r="R968" s="122"/>
      <c r="S968" s="122"/>
      <c r="T968" s="122"/>
      <c r="U968" s="122"/>
      <c r="V968" s="124"/>
      <c r="W968" s="125"/>
      <c r="X968" s="122"/>
      <c r="Y968" s="122"/>
      <c r="Z968" s="122"/>
      <c r="AA968" s="126"/>
      <c r="AB968" s="122"/>
      <c r="AC968" s="122"/>
      <c r="AD968" s="127"/>
      <c r="AE968" s="127"/>
      <c r="AF968" s="127"/>
      <c r="AG968" s="127"/>
      <c r="AH968" s="124"/>
      <c r="AI968" s="127"/>
      <c r="AJ968" s="127"/>
      <c r="AK968" s="126"/>
      <c r="AL968" s="122"/>
      <c r="AM968" s="122"/>
      <c r="AN968" s="122"/>
      <c r="AO968" s="122"/>
      <c r="AP968" s="122"/>
      <c r="AQ968" s="124"/>
    </row>
    <row r="969" spans="1:43" ht="15.75" customHeight="1">
      <c r="A969" s="122"/>
      <c r="B969" s="122"/>
      <c r="C969" s="122"/>
      <c r="D969" s="122"/>
      <c r="E969" s="122"/>
      <c r="F969" s="122"/>
      <c r="G969" s="122"/>
      <c r="H969" s="122"/>
      <c r="I969" s="122"/>
      <c r="J969" s="122"/>
      <c r="K969" s="122"/>
      <c r="L969" s="122"/>
      <c r="M969" s="123"/>
      <c r="N969" s="123"/>
      <c r="O969" s="122"/>
      <c r="P969" s="124"/>
      <c r="Q969" s="122"/>
      <c r="R969" s="122"/>
      <c r="S969" s="122"/>
      <c r="T969" s="122"/>
      <c r="U969" s="122"/>
      <c r="V969" s="124"/>
      <c r="W969" s="125"/>
      <c r="X969" s="122"/>
      <c r="Y969" s="122"/>
      <c r="Z969" s="122"/>
      <c r="AA969" s="126"/>
      <c r="AB969" s="122"/>
      <c r="AC969" s="122"/>
      <c r="AD969" s="127"/>
      <c r="AE969" s="127"/>
      <c r="AF969" s="127"/>
      <c r="AG969" s="127"/>
      <c r="AH969" s="124"/>
      <c r="AI969" s="127"/>
      <c r="AJ969" s="127"/>
      <c r="AK969" s="126"/>
      <c r="AL969" s="122"/>
      <c r="AM969" s="122"/>
      <c r="AN969" s="122"/>
      <c r="AO969" s="122"/>
      <c r="AP969" s="122"/>
      <c r="AQ969" s="124"/>
    </row>
    <row r="970" spans="1:43" ht="15.75" customHeight="1">
      <c r="A970" s="122"/>
      <c r="B970" s="122"/>
      <c r="C970" s="122"/>
      <c r="D970" s="122"/>
      <c r="E970" s="122"/>
      <c r="F970" s="122"/>
      <c r="G970" s="122"/>
      <c r="H970" s="122"/>
      <c r="I970" s="122"/>
      <c r="J970" s="122"/>
      <c r="K970" s="122"/>
      <c r="L970" s="122"/>
      <c r="M970" s="123"/>
      <c r="N970" s="123"/>
      <c r="O970" s="122"/>
      <c r="P970" s="124"/>
      <c r="Q970" s="122"/>
      <c r="R970" s="122"/>
      <c r="S970" s="122"/>
      <c r="T970" s="122"/>
      <c r="U970" s="122"/>
      <c r="V970" s="124"/>
      <c r="W970" s="125"/>
      <c r="X970" s="122"/>
      <c r="Y970" s="122"/>
      <c r="Z970" s="122"/>
      <c r="AA970" s="126"/>
      <c r="AB970" s="122"/>
      <c r="AC970" s="122"/>
      <c r="AD970" s="127"/>
      <c r="AE970" s="127"/>
      <c r="AF970" s="127"/>
      <c r="AG970" s="127"/>
      <c r="AH970" s="124"/>
      <c r="AI970" s="127"/>
      <c r="AJ970" s="127"/>
      <c r="AK970" s="126"/>
      <c r="AL970" s="122"/>
      <c r="AM970" s="122"/>
      <c r="AN970" s="122"/>
      <c r="AO970" s="122"/>
      <c r="AP970" s="122"/>
      <c r="AQ970" s="124"/>
    </row>
    <row r="971" spans="1:43" ht="15.75" customHeight="1">
      <c r="A971" s="122"/>
      <c r="B971" s="122"/>
      <c r="C971" s="122"/>
      <c r="D971" s="122"/>
      <c r="E971" s="122"/>
      <c r="F971" s="122"/>
      <c r="G971" s="122"/>
      <c r="H971" s="122"/>
      <c r="I971" s="122"/>
      <c r="J971" s="122"/>
      <c r="K971" s="122"/>
      <c r="L971" s="122"/>
      <c r="M971" s="123"/>
      <c r="N971" s="123"/>
      <c r="O971" s="122"/>
      <c r="P971" s="124"/>
      <c r="Q971" s="122"/>
      <c r="R971" s="122"/>
      <c r="S971" s="122"/>
      <c r="T971" s="122"/>
      <c r="U971" s="122"/>
      <c r="V971" s="124"/>
      <c r="W971" s="125"/>
      <c r="X971" s="122"/>
      <c r="Y971" s="122"/>
      <c r="Z971" s="122"/>
      <c r="AA971" s="126"/>
      <c r="AB971" s="122"/>
      <c r="AC971" s="122"/>
      <c r="AD971" s="127"/>
      <c r="AE971" s="127"/>
      <c r="AF971" s="127"/>
      <c r="AG971" s="127"/>
      <c r="AH971" s="124"/>
      <c r="AI971" s="127"/>
      <c r="AJ971" s="127"/>
      <c r="AK971" s="126"/>
      <c r="AL971" s="122"/>
      <c r="AM971" s="122"/>
      <c r="AN971" s="122"/>
      <c r="AO971" s="122"/>
      <c r="AP971" s="122"/>
      <c r="AQ971" s="124"/>
    </row>
    <row r="972" spans="1:43" ht="15.75" customHeight="1">
      <c r="A972" s="122"/>
      <c r="B972" s="122"/>
      <c r="C972" s="122"/>
      <c r="D972" s="122"/>
      <c r="E972" s="122"/>
      <c r="F972" s="122"/>
      <c r="G972" s="122"/>
      <c r="H972" s="122"/>
      <c r="I972" s="122"/>
      <c r="J972" s="122"/>
      <c r="K972" s="122"/>
      <c r="L972" s="122"/>
      <c r="M972" s="123"/>
      <c r="N972" s="123"/>
      <c r="O972" s="122"/>
      <c r="P972" s="124"/>
      <c r="Q972" s="122"/>
      <c r="R972" s="122"/>
      <c r="S972" s="122"/>
      <c r="T972" s="122"/>
      <c r="U972" s="122"/>
      <c r="V972" s="124"/>
      <c r="W972" s="125"/>
      <c r="X972" s="122"/>
      <c r="Y972" s="122"/>
      <c r="Z972" s="122"/>
      <c r="AA972" s="126"/>
      <c r="AB972" s="122"/>
      <c r="AC972" s="122"/>
      <c r="AD972" s="127"/>
      <c r="AE972" s="127"/>
      <c r="AF972" s="127"/>
      <c r="AG972" s="127"/>
      <c r="AH972" s="124"/>
      <c r="AI972" s="127"/>
      <c r="AJ972" s="127"/>
      <c r="AK972" s="126"/>
      <c r="AL972" s="122"/>
      <c r="AM972" s="122"/>
      <c r="AN972" s="122"/>
      <c r="AO972" s="122"/>
      <c r="AP972" s="122"/>
      <c r="AQ972" s="124"/>
    </row>
    <row r="973" spans="1:43" ht="15.75" customHeight="1">
      <c r="A973" s="122"/>
      <c r="B973" s="122"/>
      <c r="C973" s="122"/>
      <c r="D973" s="122"/>
      <c r="E973" s="122"/>
      <c r="F973" s="122"/>
      <c r="G973" s="122"/>
      <c r="H973" s="122"/>
      <c r="I973" s="122"/>
      <c r="J973" s="122"/>
      <c r="K973" s="122"/>
      <c r="L973" s="122"/>
      <c r="M973" s="123"/>
      <c r="N973" s="123"/>
      <c r="O973" s="122"/>
      <c r="P973" s="124"/>
      <c r="Q973" s="122"/>
      <c r="R973" s="122"/>
      <c r="S973" s="122"/>
      <c r="T973" s="122"/>
      <c r="U973" s="122"/>
      <c r="V973" s="124"/>
      <c r="W973" s="125"/>
      <c r="X973" s="122"/>
      <c r="Y973" s="122"/>
      <c r="Z973" s="122"/>
      <c r="AA973" s="126"/>
      <c r="AB973" s="122"/>
      <c r="AC973" s="122"/>
      <c r="AD973" s="127"/>
      <c r="AE973" s="127"/>
      <c r="AF973" s="127"/>
      <c r="AG973" s="127"/>
      <c r="AH973" s="124"/>
      <c r="AI973" s="127"/>
      <c r="AJ973" s="127"/>
      <c r="AK973" s="126"/>
      <c r="AL973" s="122"/>
      <c r="AM973" s="122"/>
      <c r="AN973" s="122"/>
      <c r="AO973" s="122"/>
      <c r="AP973" s="122"/>
      <c r="AQ973" s="124"/>
    </row>
    <row r="974" spans="1:43" ht="15.75" customHeight="1">
      <c r="A974" s="122"/>
      <c r="B974" s="122"/>
      <c r="C974" s="122"/>
      <c r="D974" s="122"/>
      <c r="E974" s="122"/>
      <c r="F974" s="122"/>
      <c r="G974" s="122"/>
      <c r="H974" s="122"/>
      <c r="I974" s="122"/>
      <c r="J974" s="122"/>
      <c r="K974" s="122"/>
      <c r="L974" s="122"/>
      <c r="M974" s="123"/>
      <c r="N974" s="123"/>
      <c r="O974" s="122"/>
      <c r="P974" s="124"/>
      <c r="Q974" s="122"/>
      <c r="R974" s="122"/>
      <c r="S974" s="122"/>
      <c r="T974" s="122"/>
      <c r="U974" s="122"/>
      <c r="V974" s="124"/>
      <c r="W974" s="125"/>
      <c r="X974" s="122"/>
      <c r="Y974" s="122"/>
      <c r="Z974" s="122"/>
      <c r="AA974" s="126"/>
      <c r="AB974" s="122"/>
      <c r="AC974" s="122"/>
      <c r="AD974" s="127"/>
      <c r="AE974" s="127"/>
      <c r="AF974" s="127"/>
      <c r="AG974" s="127"/>
      <c r="AH974" s="124"/>
      <c r="AI974" s="127"/>
      <c r="AJ974" s="127"/>
      <c r="AK974" s="126"/>
      <c r="AL974" s="122"/>
      <c r="AM974" s="122"/>
      <c r="AN974" s="122"/>
      <c r="AO974" s="122"/>
      <c r="AP974" s="122"/>
      <c r="AQ974" s="124"/>
    </row>
    <row r="975" spans="1:43" ht="15.75" customHeight="1">
      <c r="A975" s="122"/>
      <c r="B975" s="122"/>
      <c r="C975" s="122"/>
      <c r="D975" s="122"/>
      <c r="E975" s="122"/>
      <c r="F975" s="122"/>
      <c r="G975" s="122"/>
      <c r="H975" s="122"/>
      <c r="I975" s="122"/>
      <c r="J975" s="122"/>
      <c r="K975" s="122"/>
      <c r="L975" s="122"/>
      <c r="M975" s="123"/>
      <c r="N975" s="123"/>
      <c r="O975" s="122"/>
      <c r="P975" s="124"/>
      <c r="Q975" s="122"/>
      <c r="R975" s="122"/>
      <c r="S975" s="122"/>
      <c r="T975" s="122"/>
      <c r="U975" s="122"/>
      <c r="V975" s="124"/>
      <c r="W975" s="125"/>
      <c r="X975" s="122"/>
      <c r="Y975" s="122"/>
      <c r="Z975" s="122"/>
      <c r="AA975" s="126"/>
      <c r="AB975" s="122"/>
      <c r="AC975" s="122"/>
      <c r="AD975" s="127"/>
      <c r="AE975" s="127"/>
      <c r="AF975" s="127"/>
      <c r="AG975" s="127"/>
      <c r="AH975" s="124"/>
      <c r="AI975" s="127"/>
      <c r="AJ975" s="127"/>
      <c r="AK975" s="126"/>
      <c r="AL975" s="122"/>
      <c r="AM975" s="122"/>
      <c r="AN975" s="122"/>
      <c r="AO975" s="122"/>
      <c r="AP975" s="122"/>
      <c r="AQ975" s="124"/>
    </row>
    <row r="976" spans="1:43" ht="15.75" customHeight="1">
      <c r="A976" s="122"/>
      <c r="B976" s="122"/>
      <c r="C976" s="122"/>
      <c r="D976" s="122"/>
      <c r="E976" s="122"/>
      <c r="F976" s="122"/>
      <c r="G976" s="122"/>
      <c r="H976" s="122"/>
      <c r="I976" s="122"/>
      <c r="J976" s="122"/>
      <c r="K976" s="122"/>
      <c r="L976" s="122"/>
      <c r="M976" s="123"/>
      <c r="N976" s="123"/>
      <c r="O976" s="122"/>
      <c r="P976" s="124"/>
      <c r="Q976" s="122"/>
      <c r="R976" s="122"/>
      <c r="S976" s="122"/>
      <c r="T976" s="122"/>
      <c r="U976" s="122"/>
      <c r="V976" s="124"/>
      <c r="W976" s="125"/>
      <c r="X976" s="122"/>
      <c r="Y976" s="122"/>
      <c r="Z976" s="122"/>
      <c r="AA976" s="126"/>
      <c r="AB976" s="122"/>
      <c r="AC976" s="122"/>
      <c r="AD976" s="127"/>
      <c r="AE976" s="127"/>
      <c r="AF976" s="127"/>
      <c r="AG976" s="127"/>
      <c r="AH976" s="124"/>
      <c r="AI976" s="127"/>
      <c r="AJ976" s="127"/>
      <c r="AK976" s="126"/>
      <c r="AL976" s="122"/>
      <c r="AM976" s="122"/>
      <c r="AN976" s="122"/>
      <c r="AO976" s="122"/>
      <c r="AP976" s="122"/>
      <c r="AQ976" s="124"/>
    </row>
    <row r="977" spans="1:43" ht="15.75" customHeight="1">
      <c r="A977" s="122"/>
      <c r="B977" s="122"/>
      <c r="C977" s="122"/>
      <c r="D977" s="122"/>
      <c r="E977" s="122"/>
      <c r="F977" s="122"/>
      <c r="G977" s="122"/>
      <c r="H977" s="122"/>
      <c r="I977" s="122"/>
      <c r="J977" s="122"/>
      <c r="K977" s="122"/>
      <c r="L977" s="122"/>
      <c r="M977" s="123"/>
      <c r="N977" s="123"/>
      <c r="O977" s="122"/>
      <c r="P977" s="124"/>
      <c r="Q977" s="122"/>
      <c r="R977" s="122"/>
      <c r="S977" s="122"/>
      <c r="T977" s="122"/>
      <c r="U977" s="122"/>
      <c r="V977" s="124"/>
      <c r="W977" s="125"/>
      <c r="X977" s="122"/>
      <c r="Y977" s="122"/>
      <c r="Z977" s="122"/>
      <c r="AA977" s="126"/>
      <c r="AB977" s="122"/>
      <c r="AC977" s="122"/>
      <c r="AD977" s="127"/>
      <c r="AE977" s="127"/>
      <c r="AF977" s="127"/>
      <c r="AG977" s="127"/>
      <c r="AH977" s="124"/>
      <c r="AI977" s="127"/>
      <c r="AJ977" s="127"/>
      <c r="AK977" s="126"/>
      <c r="AL977" s="122"/>
      <c r="AM977" s="122"/>
      <c r="AN977" s="122"/>
      <c r="AO977" s="122"/>
      <c r="AP977" s="122"/>
      <c r="AQ977" s="124"/>
    </row>
    <row r="978" spans="1:43" ht="15.75" customHeight="1">
      <c r="A978" s="122"/>
      <c r="B978" s="122"/>
      <c r="C978" s="122"/>
      <c r="D978" s="122"/>
      <c r="E978" s="122"/>
      <c r="F978" s="122"/>
      <c r="G978" s="122"/>
      <c r="H978" s="122"/>
      <c r="I978" s="122"/>
      <c r="J978" s="122"/>
      <c r="K978" s="122"/>
      <c r="L978" s="122"/>
      <c r="M978" s="123"/>
      <c r="N978" s="123"/>
      <c r="O978" s="122"/>
      <c r="P978" s="124"/>
      <c r="Q978" s="122"/>
      <c r="R978" s="122"/>
      <c r="S978" s="122"/>
      <c r="T978" s="122"/>
      <c r="U978" s="122"/>
      <c r="V978" s="124"/>
      <c r="W978" s="125"/>
      <c r="X978" s="122"/>
      <c r="Y978" s="122"/>
      <c r="Z978" s="122"/>
      <c r="AA978" s="126"/>
      <c r="AB978" s="122"/>
      <c r="AC978" s="122"/>
      <c r="AD978" s="127"/>
      <c r="AE978" s="127"/>
      <c r="AF978" s="127"/>
      <c r="AG978" s="127"/>
      <c r="AH978" s="124"/>
      <c r="AI978" s="127"/>
      <c r="AJ978" s="127"/>
      <c r="AK978" s="126"/>
      <c r="AL978" s="122"/>
      <c r="AM978" s="122"/>
      <c r="AN978" s="122"/>
      <c r="AO978" s="122"/>
      <c r="AP978" s="122"/>
      <c r="AQ978" s="124"/>
    </row>
    <row r="979" spans="1:43" ht="15.75" customHeight="1">
      <c r="A979" s="122"/>
      <c r="B979" s="122"/>
      <c r="C979" s="122"/>
      <c r="D979" s="122"/>
      <c r="E979" s="122"/>
      <c r="F979" s="122"/>
      <c r="G979" s="122"/>
      <c r="H979" s="122"/>
      <c r="I979" s="122"/>
      <c r="J979" s="122"/>
      <c r="K979" s="122"/>
      <c r="L979" s="122"/>
      <c r="M979" s="123"/>
      <c r="N979" s="123"/>
      <c r="O979" s="122"/>
      <c r="P979" s="124"/>
      <c r="Q979" s="122"/>
      <c r="R979" s="122"/>
      <c r="S979" s="122"/>
      <c r="T979" s="122"/>
      <c r="U979" s="122"/>
      <c r="V979" s="124"/>
      <c r="W979" s="125"/>
      <c r="X979" s="122"/>
      <c r="Y979" s="122"/>
      <c r="Z979" s="122"/>
      <c r="AA979" s="126"/>
      <c r="AB979" s="122"/>
      <c r="AC979" s="122"/>
      <c r="AD979" s="127"/>
      <c r="AE979" s="127"/>
      <c r="AF979" s="127"/>
      <c r="AG979" s="127"/>
      <c r="AH979" s="124"/>
      <c r="AI979" s="127"/>
      <c r="AJ979" s="127"/>
      <c r="AK979" s="126"/>
      <c r="AL979" s="122"/>
      <c r="AM979" s="122"/>
      <c r="AN979" s="122"/>
      <c r="AO979" s="122"/>
      <c r="AP979" s="122"/>
      <c r="AQ979" s="124"/>
    </row>
    <row r="980" spans="1:43" ht="15.75" customHeight="1">
      <c r="A980" s="122"/>
      <c r="B980" s="122"/>
      <c r="C980" s="122"/>
      <c r="D980" s="122"/>
      <c r="E980" s="122"/>
      <c r="F980" s="122"/>
      <c r="G980" s="122"/>
      <c r="H980" s="122"/>
      <c r="I980" s="122"/>
      <c r="J980" s="122"/>
      <c r="K980" s="122"/>
      <c r="L980" s="122"/>
      <c r="M980" s="123"/>
      <c r="N980" s="123"/>
      <c r="O980" s="122"/>
      <c r="P980" s="124"/>
      <c r="Q980" s="122"/>
      <c r="R980" s="122"/>
      <c r="S980" s="122"/>
      <c r="T980" s="122"/>
      <c r="U980" s="122"/>
      <c r="V980" s="124"/>
      <c r="W980" s="125"/>
      <c r="X980" s="122"/>
      <c r="Y980" s="122"/>
      <c r="Z980" s="122"/>
      <c r="AA980" s="126"/>
      <c r="AB980" s="122"/>
      <c r="AC980" s="122"/>
      <c r="AD980" s="127"/>
      <c r="AE980" s="127"/>
      <c r="AF980" s="127"/>
      <c r="AG980" s="127"/>
      <c r="AH980" s="124"/>
      <c r="AI980" s="127"/>
      <c r="AJ980" s="127"/>
      <c r="AK980" s="126"/>
      <c r="AL980" s="122"/>
      <c r="AM980" s="122"/>
      <c r="AN980" s="122"/>
      <c r="AO980" s="122"/>
      <c r="AP980" s="122"/>
      <c r="AQ980" s="124"/>
    </row>
    <row r="981" spans="1:43" ht="15.75" customHeight="1">
      <c r="A981" s="122"/>
      <c r="B981" s="122"/>
      <c r="C981" s="122"/>
      <c r="D981" s="122"/>
      <c r="E981" s="122"/>
      <c r="F981" s="122"/>
      <c r="G981" s="122"/>
      <c r="H981" s="122"/>
      <c r="I981" s="122"/>
      <c r="J981" s="122"/>
      <c r="K981" s="122"/>
      <c r="L981" s="122"/>
      <c r="M981" s="123"/>
      <c r="N981" s="123"/>
      <c r="O981" s="122"/>
      <c r="P981" s="124"/>
      <c r="Q981" s="122"/>
      <c r="R981" s="122"/>
      <c r="S981" s="122"/>
      <c r="T981" s="122"/>
      <c r="U981" s="122"/>
      <c r="V981" s="124"/>
      <c r="W981" s="125"/>
      <c r="X981" s="122"/>
      <c r="Y981" s="122"/>
      <c r="Z981" s="122"/>
      <c r="AA981" s="126"/>
      <c r="AB981" s="122"/>
      <c r="AC981" s="122"/>
      <c r="AD981" s="127"/>
      <c r="AE981" s="127"/>
      <c r="AF981" s="127"/>
      <c r="AG981" s="127"/>
      <c r="AH981" s="124"/>
      <c r="AI981" s="127"/>
      <c r="AJ981" s="127"/>
      <c r="AK981" s="126"/>
      <c r="AL981" s="122"/>
      <c r="AM981" s="122"/>
      <c r="AN981" s="122"/>
      <c r="AO981" s="122"/>
      <c r="AP981" s="122"/>
      <c r="AQ981" s="124"/>
    </row>
    <row r="982" spans="1:43" ht="15.75" customHeight="1">
      <c r="A982" s="122"/>
      <c r="B982" s="122"/>
      <c r="C982" s="122"/>
      <c r="D982" s="122"/>
      <c r="E982" s="122"/>
      <c r="F982" s="122"/>
      <c r="G982" s="122"/>
      <c r="H982" s="122"/>
      <c r="I982" s="122"/>
      <c r="J982" s="122"/>
      <c r="K982" s="122"/>
      <c r="L982" s="122"/>
      <c r="M982" s="123"/>
      <c r="N982" s="123"/>
      <c r="O982" s="122"/>
      <c r="P982" s="124"/>
      <c r="Q982" s="122"/>
      <c r="R982" s="122"/>
      <c r="S982" s="122"/>
      <c r="T982" s="122"/>
      <c r="U982" s="122"/>
      <c r="V982" s="124"/>
      <c r="W982" s="125"/>
      <c r="X982" s="122"/>
      <c r="Y982" s="122"/>
      <c r="Z982" s="122"/>
      <c r="AA982" s="126"/>
      <c r="AB982" s="122"/>
      <c r="AC982" s="122"/>
      <c r="AD982" s="127"/>
      <c r="AE982" s="127"/>
      <c r="AF982" s="127"/>
      <c r="AG982" s="127"/>
      <c r="AH982" s="124"/>
      <c r="AI982" s="127"/>
      <c r="AJ982" s="127"/>
      <c r="AK982" s="126"/>
      <c r="AL982" s="122"/>
      <c r="AM982" s="122"/>
      <c r="AN982" s="122"/>
      <c r="AO982" s="122"/>
      <c r="AP982" s="122"/>
      <c r="AQ982" s="124"/>
    </row>
    <row r="983" spans="1:43" ht="15.75" customHeight="1">
      <c r="A983" s="122"/>
      <c r="B983" s="122"/>
      <c r="C983" s="122"/>
      <c r="D983" s="122"/>
      <c r="E983" s="122"/>
      <c r="F983" s="122"/>
      <c r="G983" s="122"/>
      <c r="H983" s="122"/>
      <c r="I983" s="122"/>
      <c r="J983" s="122"/>
      <c r="K983" s="122"/>
      <c r="L983" s="122"/>
      <c r="M983" s="123"/>
      <c r="N983" s="123"/>
      <c r="O983" s="122"/>
      <c r="P983" s="124"/>
      <c r="Q983" s="122"/>
      <c r="R983" s="122"/>
      <c r="S983" s="122"/>
      <c r="T983" s="122"/>
      <c r="U983" s="122"/>
      <c r="V983" s="124"/>
      <c r="W983" s="125"/>
      <c r="X983" s="122"/>
      <c r="Y983" s="122"/>
      <c r="Z983" s="122"/>
      <c r="AA983" s="126"/>
      <c r="AB983" s="122"/>
      <c r="AC983" s="122"/>
      <c r="AD983" s="127"/>
      <c r="AE983" s="127"/>
      <c r="AF983" s="127"/>
      <c r="AG983" s="127"/>
      <c r="AH983" s="124"/>
      <c r="AI983" s="127"/>
      <c r="AJ983" s="127"/>
      <c r="AK983" s="126"/>
      <c r="AL983" s="122"/>
      <c r="AM983" s="122"/>
      <c r="AN983" s="122"/>
      <c r="AO983" s="122"/>
      <c r="AP983" s="122"/>
      <c r="AQ983" s="124"/>
    </row>
    <row r="984" spans="1:43" ht="15.75" customHeight="1">
      <c r="A984" s="122"/>
      <c r="B984" s="122"/>
      <c r="C984" s="122"/>
      <c r="D984" s="122"/>
      <c r="E984" s="122"/>
      <c r="F984" s="122"/>
      <c r="G984" s="122"/>
      <c r="H984" s="122"/>
      <c r="I984" s="122"/>
      <c r="J984" s="122"/>
      <c r="K984" s="122"/>
      <c r="L984" s="122"/>
      <c r="M984" s="123"/>
      <c r="N984" s="123"/>
      <c r="O984" s="122"/>
      <c r="P984" s="124"/>
      <c r="Q984" s="122"/>
      <c r="R984" s="122"/>
      <c r="S984" s="122"/>
      <c r="T984" s="122"/>
      <c r="U984" s="122"/>
      <c r="V984" s="124"/>
      <c r="W984" s="125"/>
      <c r="X984" s="122"/>
      <c r="Y984" s="122"/>
      <c r="Z984" s="122"/>
      <c r="AA984" s="126"/>
      <c r="AB984" s="122"/>
      <c r="AC984" s="122"/>
      <c r="AD984" s="127"/>
      <c r="AE984" s="127"/>
      <c r="AF984" s="127"/>
      <c r="AG984" s="127"/>
      <c r="AH984" s="124"/>
      <c r="AI984" s="127"/>
      <c r="AJ984" s="127"/>
      <c r="AK984" s="126"/>
      <c r="AL984" s="122"/>
      <c r="AM984" s="122"/>
      <c r="AN984" s="122"/>
      <c r="AO984" s="122"/>
      <c r="AP984" s="122"/>
      <c r="AQ984" s="124"/>
    </row>
    <row r="985" spans="1:43" ht="15.75" customHeight="1">
      <c r="A985" s="122"/>
      <c r="B985" s="122"/>
      <c r="C985" s="122"/>
      <c r="D985" s="122"/>
      <c r="E985" s="122"/>
      <c r="F985" s="122"/>
      <c r="G985" s="122"/>
      <c r="H985" s="122"/>
      <c r="I985" s="122"/>
      <c r="J985" s="122"/>
      <c r="K985" s="122"/>
      <c r="L985" s="122"/>
      <c r="M985" s="123"/>
      <c r="N985" s="123"/>
      <c r="O985" s="122"/>
      <c r="P985" s="124"/>
      <c r="Q985" s="122"/>
      <c r="R985" s="122"/>
      <c r="S985" s="122"/>
      <c r="T985" s="122"/>
      <c r="U985" s="122"/>
      <c r="V985" s="124"/>
      <c r="W985" s="125"/>
      <c r="X985" s="122"/>
      <c r="Y985" s="122"/>
      <c r="Z985" s="122"/>
      <c r="AA985" s="126"/>
      <c r="AB985" s="122"/>
      <c r="AC985" s="122"/>
      <c r="AD985" s="127"/>
      <c r="AE985" s="127"/>
      <c r="AF985" s="127"/>
      <c r="AG985" s="127"/>
      <c r="AH985" s="124"/>
      <c r="AI985" s="127"/>
      <c r="AJ985" s="127"/>
      <c r="AK985" s="126"/>
      <c r="AL985" s="122"/>
      <c r="AM985" s="122"/>
      <c r="AN985" s="122"/>
      <c r="AO985" s="122"/>
      <c r="AP985" s="122"/>
      <c r="AQ985" s="124"/>
    </row>
    <row r="986" spans="1:43" ht="15.75" customHeight="1">
      <c r="A986" s="122"/>
      <c r="B986" s="122"/>
      <c r="C986" s="122"/>
      <c r="D986" s="122"/>
      <c r="E986" s="122"/>
      <c r="F986" s="122"/>
      <c r="G986" s="122"/>
      <c r="H986" s="122"/>
      <c r="I986" s="122"/>
      <c r="J986" s="122"/>
      <c r="K986" s="122"/>
      <c r="L986" s="122"/>
      <c r="M986" s="123"/>
      <c r="N986" s="123"/>
      <c r="O986" s="122"/>
      <c r="P986" s="124"/>
      <c r="Q986" s="122"/>
      <c r="R986" s="122"/>
      <c r="S986" s="122"/>
      <c r="T986" s="122"/>
      <c r="U986" s="122"/>
      <c r="V986" s="124"/>
      <c r="W986" s="125"/>
      <c r="X986" s="122"/>
      <c r="Y986" s="122"/>
      <c r="Z986" s="122"/>
      <c r="AA986" s="126"/>
      <c r="AB986" s="122"/>
      <c r="AC986" s="122"/>
      <c r="AD986" s="127"/>
      <c r="AE986" s="127"/>
      <c r="AF986" s="127"/>
      <c r="AG986" s="127"/>
      <c r="AH986" s="124"/>
      <c r="AI986" s="127"/>
      <c r="AJ986" s="127"/>
      <c r="AK986" s="126"/>
      <c r="AL986" s="122"/>
      <c r="AM986" s="122"/>
      <c r="AN986" s="122"/>
      <c r="AO986" s="122"/>
      <c r="AP986" s="122"/>
      <c r="AQ986" s="124"/>
    </row>
    <row r="987" spans="1:43" ht="15.75" customHeight="1">
      <c r="A987" s="122"/>
      <c r="B987" s="122"/>
      <c r="C987" s="122"/>
      <c r="D987" s="122"/>
      <c r="E987" s="122"/>
      <c r="F987" s="122"/>
      <c r="G987" s="122"/>
      <c r="H987" s="122"/>
      <c r="I987" s="122"/>
      <c r="J987" s="122"/>
      <c r="K987" s="122"/>
      <c r="L987" s="122"/>
      <c r="M987" s="123"/>
      <c r="N987" s="123"/>
      <c r="O987" s="122"/>
      <c r="P987" s="124"/>
      <c r="Q987" s="122"/>
      <c r="R987" s="122"/>
      <c r="S987" s="122"/>
      <c r="T987" s="122"/>
      <c r="U987" s="122"/>
      <c r="V987" s="124"/>
      <c r="W987" s="125"/>
      <c r="X987" s="122"/>
      <c r="Y987" s="122"/>
      <c r="Z987" s="122"/>
      <c r="AA987" s="126"/>
      <c r="AB987" s="122"/>
      <c r="AC987" s="122"/>
      <c r="AD987" s="127"/>
      <c r="AE987" s="127"/>
      <c r="AF987" s="127"/>
      <c r="AG987" s="127"/>
      <c r="AH987" s="124"/>
      <c r="AI987" s="127"/>
      <c r="AJ987" s="127"/>
      <c r="AK987" s="126"/>
      <c r="AL987" s="122"/>
      <c r="AM987" s="122"/>
      <c r="AN987" s="122"/>
      <c r="AO987" s="122"/>
      <c r="AP987" s="122"/>
      <c r="AQ987" s="124"/>
    </row>
    <row r="988" spans="1:43" ht="15.75" customHeight="1">
      <c r="A988" s="122"/>
      <c r="B988" s="122"/>
      <c r="C988" s="122"/>
      <c r="D988" s="122"/>
      <c r="E988" s="122"/>
      <c r="F988" s="122"/>
      <c r="G988" s="122"/>
      <c r="H988" s="122"/>
      <c r="I988" s="122"/>
      <c r="J988" s="122"/>
      <c r="K988" s="122"/>
      <c r="L988" s="122"/>
      <c r="M988" s="123"/>
      <c r="N988" s="123"/>
      <c r="O988" s="122"/>
      <c r="P988" s="124"/>
      <c r="Q988" s="122"/>
      <c r="R988" s="122"/>
      <c r="S988" s="122"/>
      <c r="T988" s="122"/>
      <c r="U988" s="122"/>
      <c r="V988" s="124"/>
      <c r="W988" s="125"/>
      <c r="X988" s="122"/>
      <c r="Y988" s="122"/>
      <c r="Z988" s="122"/>
      <c r="AA988" s="126"/>
      <c r="AB988" s="122"/>
      <c r="AC988" s="122"/>
      <c r="AD988" s="127"/>
      <c r="AE988" s="127"/>
      <c r="AF988" s="127"/>
      <c r="AG988" s="127"/>
      <c r="AH988" s="124"/>
      <c r="AI988" s="127"/>
      <c r="AJ988" s="127"/>
      <c r="AK988" s="126"/>
      <c r="AL988" s="122"/>
      <c r="AM988" s="122"/>
      <c r="AN988" s="122"/>
      <c r="AO988" s="122"/>
      <c r="AP988" s="122"/>
      <c r="AQ988" s="124"/>
    </row>
    <row r="989" spans="1:43" ht="15.75" customHeight="1">
      <c r="A989" s="122"/>
      <c r="B989" s="122"/>
      <c r="C989" s="122"/>
      <c r="D989" s="122"/>
      <c r="E989" s="122"/>
      <c r="F989" s="122"/>
      <c r="G989" s="122"/>
      <c r="H989" s="122"/>
      <c r="I989" s="122"/>
      <c r="J989" s="122"/>
      <c r="K989" s="122"/>
      <c r="L989" s="122"/>
      <c r="M989" s="123"/>
      <c r="N989" s="123"/>
      <c r="O989" s="122"/>
      <c r="P989" s="124"/>
      <c r="Q989" s="122"/>
      <c r="R989" s="122"/>
      <c r="S989" s="122"/>
      <c r="T989" s="122"/>
      <c r="U989" s="122"/>
      <c r="V989" s="124"/>
      <c r="W989" s="125"/>
      <c r="X989" s="122"/>
      <c r="Y989" s="122"/>
      <c r="Z989" s="122"/>
      <c r="AA989" s="126"/>
      <c r="AB989" s="122"/>
      <c r="AC989" s="122"/>
      <c r="AD989" s="127"/>
      <c r="AE989" s="127"/>
      <c r="AF989" s="127"/>
      <c r="AG989" s="127"/>
      <c r="AH989" s="124"/>
      <c r="AI989" s="127"/>
      <c r="AJ989" s="127"/>
      <c r="AK989" s="126"/>
      <c r="AL989" s="122"/>
      <c r="AM989" s="122"/>
      <c r="AN989" s="122"/>
      <c r="AO989" s="122"/>
      <c r="AP989" s="122"/>
      <c r="AQ989" s="124"/>
    </row>
    <row r="990" spans="1:43" ht="15.75" customHeight="1">
      <c r="A990" s="122"/>
      <c r="B990" s="122"/>
      <c r="C990" s="122"/>
      <c r="D990" s="122"/>
      <c r="E990" s="122"/>
      <c r="F990" s="122"/>
      <c r="G990" s="122"/>
      <c r="H990" s="122"/>
      <c r="I990" s="122"/>
      <c r="J990" s="122"/>
      <c r="K990" s="122"/>
      <c r="L990" s="122"/>
      <c r="M990" s="123"/>
      <c r="N990" s="123"/>
      <c r="O990" s="122"/>
      <c r="P990" s="124"/>
      <c r="Q990" s="122"/>
      <c r="R990" s="122"/>
      <c r="S990" s="122"/>
      <c r="T990" s="122"/>
      <c r="U990" s="122"/>
      <c r="V990" s="124"/>
      <c r="W990" s="125"/>
      <c r="X990" s="122"/>
      <c r="Y990" s="122"/>
      <c r="Z990" s="122"/>
      <c r="AA990" s="126"/>
      <c r="AB990" s="122"/>
      <c r="AC990" s="122"/>
      <c r="AD990" s="127"/>
      <c r="AE990" s="127"/>
      <c r="AF990" s="127"/>
      <c r="AG990" s="127"/>
      <c r="AH990" s="124"/>
      <c r="AI990" s="127"/>
      <c r="AJ990" s="127"/>
      <c r="AK990" s="126"/>
      <c r="AL990" s="122"/>
      <c r="AM990" s="122"/>
      <c r="AN990" s="122"/>
      <c r="AO990" s="122"/>
      <c r="AP990" s="122"/>
      <c r="AQ990" s="124"/>
    </row>
    <row r="991" spans="1:43" ht="15.75" customHeight="1">
      <c r="A991" s="122"/>
      <c r="B991" s="122"/>
      <c r="C991" s="122"/>
      <c r="D991" s="122"/>
      <c r="E991" s="122"/>
      <c r="F991" s="122"/>
      <c r="G991" s="122"/>
      <c r="H991" s="122"/>
      <c r="I991" s="122"/>
      <c r="J991" s="122"/>
      <c r="K991" s="122"/>
      <c r="L991" s="122"/>
      <c r="M991" s="123"/>
      <c r="N991" s="123"/>
      <c r="O991" s="122"/>
      <c r="P991" s="124"/>
      <c r="Q991" s="122"/>
      <c r="R991" s="122"/>
      <c r="S991" s="122"/>
      <c r="T991" s="122"/>
      <c r="U991" s="122"/>
      <c r="V991" s="124"/>
      <c r="W991" s="125"/>
      <c r="X991" s="122"/>
      <c r="Y991" s="122"/>
      <c r="Z991" s="122"/>
      <c r="AA991" s="126"/>
      <c r="AB991" s="122"/>
      <c r="AC991" s="122"/>
      <c r="AD991" s="127"/>
      <c r="AE991" s="127"/>
      <c r="AF991" s="127"/>
      <c r="AG991" s="127"/>
      <c r="AH991" s="124"/>
      <c r="AI991" s="127"/>
      <c r="AJ991" s="127"/>
      <c r="AK991" s="126"/>
      <c r="AL991" s="122"/>
      <c r="AM991" s="122"/>
      <c r="AN991" s="122"/>
      <c r="AO991" s="122"/>
      <c r="AP991" s="122"/>
      <c r="AQ991" s="124"/>
    </row>
    <row r="992" spans="1:43" ht="15.75" customHeight="1">
      <c r="A992" s="122"/>
      <c r="B992" s="122"/>
      <c r="C992" s="122"/>
      <c r="D992" s="122"/>
      <c r="E992" s="122"/>
      <c r="F992" s="122"/>
      <c r="G992" s="122"/>
      <c r="H992" s="122"/>
      <c r="I992" s="122"/>
      <c r="J992" s="122"/>
      <c r="K992" s="122"/>
      <c r="L992" s="122"/>
      <c r="M992" s="123"/>
      <c r="N992" s="123"/>
      <c r="O992" s="122"/>
      <c r="P992" s="124"/>
      <c r="Q992" s="122"/>
      <c r="R992" s="122"/>
      <c r="S992" s="122"/>
      <c r="T992" s="122"/>
      <c r="U992" s="122"/>
      <c r="V992" s="124"/>
      <c r="W992" s="125"/>
      <c r="X992" s="122"/>
      <c r="Y992" s="122"/>
      <c r="Z992" s="122"/>
      <c r="AA992" s="126"/>
      <c r="AB992" s="122"/>
      <c r="AC992" s="122"/>
      <c r="AD992" s="127"/>
      <c r="AE992" s="127"/>
      <c r="AF992" s="127"/>
      <c r="AG992" s="127"/>
      <c r="AH992" s="124"/>
      <c r="AI992" s="127"/>
      <c r="AJ992" s="127"/>
      <c r="AK992" s="126"/>
      <c r="AL992" s="122"/>
      <c r="AM992" s="122"/>
      <c r="AN992" s="122"/>
      <c r="AO992" s="122"/>
      <c r="AP992" s="122"/>
      <c r="AQ992" s="124"/>
    </row>
    <row r="993" spans="1:43" ht="15.75" customHeight="1">
      <c r="A993" s="122"/>
      <c r="B993" s="122"/>
      <c r="C993" s="122"/>
      <c r="D993" s="122"/>
      <c r="E993" s="122"/>
      <c r="F993" s="122"/>
      <c r="G993" s="122"/>
      <c r="H993" s="122"/>
      <c r="I993" s="122"/>
      <c r="J993" s="122"/>
      <c r="K993" s="122"/>
      <c r="L993" s="122"/>
      <c r="M993" s="123"/>
      <c r="N993" s="123"/>
      <c r="O993" s="122"/>
      <c r="P993" s="124"/>
      <c r="Q993" s="122"/>
      <c r="R993" s="122"/>
      <c r="S993" s="122"/>
      <c r="T993" s="122"/>
      <c r="U993" s="122"/>
      <c r="V993" s="124"/>
      <c r="W993" s="125"/>
      <c r="X993" s="122"/>
      <c r="Y993" s="122"/>
      <c r="Z993" s="122"/>
      <c r="AA993" s="126"/>
      <c r="AB993" s="122"/>
      <c r="AC993" s="122"/>
      <c r="AD993" s="127"/>
      <c r="AE993" s="127"/>
      <c r="AF993" s="127"/>
      <c r="AG993" s="127"/>
      <c r="AH993" s="124"/>
      <c r="AI993" s="127"/>
      <c r="AJ993" s="127"/>
      <c r="AK993" s="126"/>
      <c r="AL993" s="122"/>
      <c r="AM993" s="122"/>
      <c r="AN993" s="122"/>
      <c r="AO993" s="122"/>
      <c r="AP993" s="122"/>
      <c r="AQ993" s="124"/>
    </row>
    <row r="994" spans="1:43" ht="15.75" customHeight="1">
      <c r="A994" s="122"/>
      <c r="B994" s="122"/>
      <c r="C994" s="122"/>
      <c r="D994" s="122"/>
      <c r="E994" s="122"/>
      <c r="F994" s="122"/>
      <c r="G994" s="122"/>
      <c r="H994" s="122"/>
      <c r="I994" s="122"/>
      <c r="J994" s="122"/>
      <c r="K994" s="122"/>
      <c r="L994" s="122"/>
      <c r="M994" s="123"/>
      <c r="N994" s="123"/>
      <c r="O994" s="122"/>
      <c r="P994" s="124"/>
      <c r="Q994" s="122"/>
      <c r="R994" s="122"/>
      <c r="S994" s="122"/>
      <c r="T994" s="122"/>
      <c r="U994" s="122"/>
      <c r="V994" s="124"/>
      <c r="W994" s="125"/>
      <c r="X994" s="122"/>
      <c r="Y994" s="122"/>
      <c r="Z994" s="122"/>
      <c r="AA994" s="126"/>
      <c r="AB994" s="122"/>
      <c r="AC994" s="122"/>
      <c r="AD994" s="127"/>
      <c r="AE994" s="127"/>
      <c r="AF994" s="127"/>
      <c r="AG994" s="127"/>
      <c r="AH994" s="124"/>
      <c r="AI994" s="127"/>
      <c r="AJ994" s="127"/>
      <c r="AK994" s="126"/>
      <c r="AL994" s="122"/>
      <c r="AM994" s="122"/>
      <c r="AN994" s="122"/>
      <c r="AO994" s="122"/>
      <c r="AP994" s="122"/>
      <c r="AQ994" s="124"/>
    </row>
    <row r="995" spans="1:43" ht="15.75" customHeight="1">
      <c r="A995" s="122"/>
      <c r="B995" s="122"/>
      <c r="C995" s="122"/>
      <c r="D995" s="122"/>
      <c r="E995" s="122"/>
      <c r="F995" s="122"/>
      <c r="G995" s="122"/>
      <c r="H995" s="122"/>
      <c r="I995" s="122"/>
      <c r="J995" s="122"/>
      <c r="K995" s="122"/>
      <c r="L995" s="122"/>
      <c r="M995" s="123"/>
      <c r="N995" s="123"/>
      <c r="O995" s="122"/>
      <c r="P995" s="124"/>
      <c r="Q995" s="122"/>
      <c r="R995" s="122"/>
      <c r="S995" s="122"/>
      <c r="T995" s="122"/>
      <c r="U995" s="122"/>
      <c r="V995" s="124"/>
      <c r="W995" s="125"/>
      <c r="X995" s="122"/>
      <c r="Y995" s="122"/>
      <c r="Z995" s="122"/>
      <c r="AA995" s="126"/>
      <c r="AB995" s="122"/>
      <c r="AC995" s="122"/>
      <c r="AD995" s="127"/>
      <c r="AE995" s="127"/>
      <c r="AF995" s="127"/>
      <c r="AG995" s="127"/>
      <c r="AH995" s="124"/>
      <c r="AI995" s="127"/>
      <c r="AJ995" s="127"/>
      <c r="AK995" s="126"/>
      <c r="AL995" s="122"/>
      <c r="AM995" s="122"/>
      <c r="AN995" s="122"/>
      <c r="AO995" s="122"/>
      <c r="AP995" s="122"/>
      <c r="AQ995" s="124"/>
    </row>
    <row r="996" spans="1:43" ht="15.75" customHeight="1">
      <c r="A996" s="122"/>
      <c r="B996" s="122"/>
      <c r="C996" s="122"/>
      <c r="D996" s="122"/>
      <c r="E996" s="122"/>
      <c r="F996" s="122"/>
      <c r="G996" s="122"/>
      <c r="H996" s="122"/>
      <c r="I996" s="122"/>
      <c r="J996" s="122"/>
      <c r="K996" s="122"/>
      <c r="L996" s="122"/>
      <c r="M996" s="123"/>
      <c r="N996" s="123"/>
      <c r="O996" s="122"/>
      <c r="P996" s="124"/>
      <c r="Q996" s="122"/>
      <c r="R996" s="122"/>
      <c r="S996" s="122"/>
      <c r="T996" s="122"/>
      <c r="U996" s="122"/>
      <c r="V996" s="124"/>
      <c r="W996" s="125"/>
      <c r="X996" s="122"/>
      <c r="Y996" s="122"/>
      <c r="Z996" s="122"/>
      <c r="AA996" s="126"/>
      <c r="AB996" s="122"/>
      <c r="AC996" s="122"/>
      <c r="AD996" s="127"/>
      <c r="AE996" s="127"/>
      <c r="AF996" s="127"/>
      <c r="AG996" s="127"/>
      <c r="AH996" s="124"/>
      <c r="AI996" s="127"/>
      <c r="AJ996" s="127"/>
      <c r="AK996" s="126"/>
      <c r="AL996" s="122"/>
      <c r="AM996" s="122"/>
      <c r="AN996" s="122"/>
      <c r="AO996" s="122"/>
      <c r="AP996" s="122"/>
      <c r="AQ996" s="124"/>
    </row>
    <row r="997" spans="1:43" ht="15.75" customHeight="1">
      <c r="A997" s="122"/>
      <c r="B997" s="122"/>
      <c r="C997" s="122"/>
      <c r="D997" s="122"/>
      <c r="E997" s="122"/>
      <c r="F997" s="122"/>
      <c r="G997" s="122"/>
      <c r="H997" s="122"/>
      <c r="I997" s="122"/>
      <c r="J997" s="122"/>
      <c r="K997" s="122"/>
      <c r="L997" s="122"/>
      <c r="M997" s="123"/>
      <c r="N997" s="123"/>
      <c r="O997" s="122"/>
      <c r="P997" s="124"/>
      <c r="Q997" s="122"/>
      <c r="R997" s="122"/>
      <c r="S997" s="122"/>
      <c r="T997" s="122"/>
      <c r="U997" s="122"/>
      <c r="V997" s="124"/>
      <c r="W997" s="125"/>
      <c r="X997" s="122"/>
      <c r="Y997" s="122"/>
      <c r="Z997" s="122"/>
      <c r="AA997" s="126"/>
      <c r="AB997" s="122"/>
      <c r="AC997" s="122"/>
      <c r="AD997" s="127"/>
      <c r="AE997" s="127"/>
      <c r="AF997" s="127"/>
      <c r="AG997" s="127"/>
      <c r="AH997" s="124"/>
      <c r="AI997" s="127"/>
      <c r="AJ997" s="127"/>
      <c r="AK997" s="126"/>
      <c r="AL997" s="122"/>
      <c r="AM997" s="122"/>
      <c r="AN997" s="122"/>
      <c r="AO997" s="122"/>
      <c r="AP997" s="122"/>
      <c r="AQ997" s="124"/>
    </row>
    <row r="998" spans="1:43" ht="15.75" customHeight="1">
      <c r="A998" s="122"/>
      <c r="B998" s="122"/>
      <c r="C998" s="122"/>
      <c r="D998" s="122"/>
      <c r="E998" s="122"/>
      <c r="F998" s="122"/>
      <c r="G998" s="122"/>
      <c r="H998" s="122"/>
      <c r="I998" s="122"/>
      <c r="J998" s="122"/>
      <c r="K998" s="122"/>
      <c r="L998" s="122"/>
      <c r="M998" s="123"/>
      <c r="N998" s="123"/>
      <c r="O998" s="122"/>
      <c r="P998" s="124"/>
      <c r="Q998" s="122"/>
      <c r="R998" s="122"/>
      <c r="S998" s="122"/>
      <c r="T998" s="122"/>
      <c r="U998" s="122"/>
      <c r="V998" s="124"/>
      <c r="W998" s="125"/>
      <c r="X998" s="122"/>
      <c r="Y998" s="122"/>
      <c r="Z998" s="122"/>
      <c r="AA998" s="126"/>
      <c r="AB998" s="122"/>
      <c r="AC998" s="122"/>
      <c r="AD998" s="127"/>
      <c r="AE998" s="127"/>
      <c r="AF998" s="127"/>
      <c r="AG998" s="127"/>
      <c r="AH998" s="124"/>
      <c r="AI998" s="127"/>
      <c r="AJ998" s="127"/>
      <c r="AK998" s="126"/>
      <c r="AL998" s="122"/>
      <c r="AM998" s="122"/>
      <c r="AN998" s="122"/>
      <c r="AO998" s="122"/>
      <c r="AP998" s="122"/>
      <c r="AQ998" s="124"/>
    </row>
    <row r="999" spans="1:43" ht="15.75" customHeight="1">
      <c r="A999" s="122"/>
      <c r="B999" s="122"/>
      <c r="C999" s="122"/>
      <c r="D999" s="122"/>
      <c r="E999" s="122"/>
      <c r="F999" s="122"/>
      <c r="G999" s="122"/>
      <c r="H999" s="122"/>
      <c r="I999" s="122"/>
      <c r="J999" s="122"/>
      <c r="K999" s="122"/>
      <c r="L999" s="122"/>
      <c r="M999" s="123"/>
      <c r="N999" s="123"/>
      <c r="O999" s="122"/>
      <c r="P999" s="124"/>
      <c r="Q999" s="122"/>
      <c r="R999" s="122"/>
      <c r="S999" s="122"/>
      <c r="T999" s="122"/>
      <c r="U999" s="122"/>
      <c r="V999" s="124"/>
      <c r="W999" s="125"/>
      <c r="X999" s="122"/>
      <c r="Y999" s="122"/>
      <c r="Z999" s="122"/>
      <c r="AA999" s="126"/>
      <c r="AB999" s="122"/>
      <c r="AC999" s="122"/>
      <c r="AD999" s="127"/>
      <c r="AE999" s="127"/>
      <c r="AF999" s="127"/>
      <c r="AG999" s="127"/>
      <c r="AH999" s="124"/>
      <c r="AI999" s="127"/>
      <c r="AJ999" s="127"/>
      <c r="AK999" s="126"/>
      <c r="AL999" s="122"/>
      <c r="AM999" s="122"/>
      <c r="AN999" s="122"/>
      <c r="AO999" s="122"/>
      <c r="AP999" s="122"/>
      <c r="AQ999" s="124"/>
    </row>
    <row r="1000" spans="1:43" ht="15.75" customHeight="1">
      <c r="A1000" s="122"/>
      <c r="B1000" s="122"/>
      <c r="C1000" s="122"/>
      <c r="D1000" s="122"/>
      <c r="E1000" s="122"/>
      <c r="F1000" s="122"/>
      <c r="G1000" s="122"/>
      <c r="H1000" s="122"/>
      <c r="I1000" s="122"/>
      <c r="J1000" s="122"/>
      <c r="K1000" s="122"/>
      <c r="L1000" s="122"/>
      <c r="M1000" s="123"/>
      <c r="N1000" s="123"/>
      <c r="O1000" s="122"/>
      <c r="P1000" s="124"/>
      <c r="Q1000" s="122"/>
      <c r="R1000" s="122"/>
      <c r="S1000" s="122"/>
      <c r="T1000" s="122"/>
      <c r="U1000" s="122"/>
      <c r="V1000" s="124"/>
      <c r="W1000" s="125"/>
      <c r="X1000" s="122"/>
      <c r="Y1000" s="122"/>
      <c r="Z1000" s="122"/>
      <c r="AA1000" s="126"/>
      <c r="AB1000" s="122"/>
      <c r="AC1000" s="122"/>
      <c r="AD1000" s="127"/>
      <c r="AE1000" s="127"/>
      <c r="AF1000" s="127"/>
      <c r="AG1000" s="127"/>
      <c r="AH1000" s="124"/>
      <c r="AI1000" s="127"/>
      <c r="AJ1000" s="127"/>
      <c r="AK1000" s="126"/>
      <c r="AL1000" s="122"/>
      <c r="AM1000" s="122"/>
      <c r="AN1000" s="122"/>
      <c r="AO1000" s="122"/>
      <c r="AP1000" s="122"/>
      <c r="AQ1000" s="124"/>
    </row>
    <row r="1001" spans="1:43" ht="15.75" customHeight="1">
      <c r="A1001" s="122"/>
      <c r="B1001" s="122"/>
      <c r="C1001" s="122"/>
      <c r="D1001" s="122"/>
      <c r="E1001" s="122"/>
      <c r="F1001" s="122"/>
      <c r="G1001" s="122"/>
      <c r="H1001" s="122"/>
      <c r="I1001" s="122"/>
      <c r="J1001" s="122"/>
      <c r="K1001" s="122"/>
      <c r="L1001" s="122"/>
      <c r="M1001" s="123"/>
      <c r="N1001" s="123"/>
      <c r="O1001" s="122"/>
      <c r="P1001" s="124"/>
      <c r="Q1001" s="122"/>
      <c r="R1001" s="122"/>
      <c r="S1001" s="122"/>
      <c r="T1001" s="122"/>
      <c r="U1001" s="122"/>
      <c r="V1001" s="124"/>
      <c r="W1001" s="125"/>
      <c r="X1001" s="122"/>
      <c r="Y1001" s="122"/>
      <c r="Z1001" s="122"/>
      <c r="AA1001" s="126"/>
      <c r="AB1001" s="122"/>
      <c r="AC1001" s="122"/>
      <c r="AD1001" s="127"/>
      <c r="AE1001" s="127"/>
      <c r="AF1001" s="127"/>
      <c r="AG1001" s="127"/>
      <c r="AH1001" s="124"/>
      <c r="AI1001" s="127"/>
      <c r="AJ1001" s="127"/>
      <c r="AK1001" s="126"/>
      <c r="AL1001" s="122"/>
      <c r="AM1001" s="122"/>
      <c r="AN1001" s="122"/>
      <c r="AO1001" s="122"/>
      <c r="AP1001" s="122"/>
      <c r="AQ1001" s="124"/>
    </row>
    <row r="1002" spans="1:43" ht="15.75" customHeight="1">
      <c r="A1002" s="122"/>
      <c r="B1002" s="122"/>
      <c r="C1002" s="122"/>
      <c r="D1002" s="122"/>
      <c r="E1002" s="122"/>
      <c r="F1002" s="122"/>
      <c r="G1002" s="122"/>
      <c r="H1002" s="122"/>
      <c r="I1002" s="122"/>
      <c r="J1002" s="122"/>
      <c r="K1002" s="122"/>
      <c r="L1002" s="122"/>
      <c r="M1002" s="123"/>
      <c r="N1002" s="123"/>
      <c r="O1002" s="122"/>
      <c r="P1002" s="124"/>
      <c r="Q1002" s="122"/>
      <c r="R1002" s="122"/>
      <c r="S1002" s="122"/>
      <c r="T1002" s="122"/>
      <c r="U1002" s="122"/>
      <c r="V1002" s="124"/>
      <c r="W1002" s="125"/>
      <c r="X1002" s="122"/>
      <c r="Y1002" s="122"/>
      <c r="Z1002" s="122"/>
      <c r="AA1002" s="126"/>
      <c r="AB1002" s="122"/>
      <c r="AC1002" s="122"/>
      <c r="AD1002" s="127"/>
      <c r="AE1002" s="127"/>
      <c r="AF1002" s="127"/>
      <c r="AG1002" s="127"/>
      <c r="AH1002" s="124"/>
      <c r="AI1002" s="127"/>
      <c r="AJ1002" s="127"/>
      <c r="AK1002" s="126"/>
      <c r="AL1002" s="122"/>
      <c r="AM1002" s="122"/>
      <c r="AN1002" s="122"/>
      <c r="AO1002" s="122"/>
      <c r="AP1002" s="122"/>
      <c r="AQ1002" s="124"/>
    </row>
    <row r="1003" spans="1:43" ht="15.75" customHeight="1">
      <c r="A1003" s="122"/>
      <c r="B1003" s="122"/>
      <c r="C1003" s="122"/>
      <c r="D1003" s="122"/>
      <c r="E1003" s="122"/>
      <c r="F1003" s="122"/>
      <c r="G1003" s="122"/>
      <c r="H1003" s="122"/>
      <c r="I1003" s="122"/>
      <c r="J1003" s="122"/>
      <c r="K1003" s="122"/>
      <c r="L1003" s="122"/>
      <c r="M1003" s="123"/>
      <c r="N1003" s="123"/>
      <c r="O1003" s="122"/>
      <c r="P1003" s="124"/>
      <c r="Q1003" s="122"/>
      <c r="R1003" s="122"/>
      <c r="S1003" s="122"/>
      <c r="T1003" s="122"/>
      <c r="U1003" s="122"/>
      <c r="V1003" s="124"/>
      <c r="W1003" s="125"/>
      <c r="X1003" s="122"/>
      <c r="Y1003" s="122"/>
      <c r="Z1003" s="122"/>
      <c r="AA1003" s="126"/>
      <c r="AB1003" s="122"/>
      <c r="AC1003" s="122"/>
      <c r="AD1003" s="127"/>
      <c r="AE1003" s="127"/>
      <c r="AF1003" s="127"/>
      <c r="AG1003" s="127"/>
      <c r="AH1003" s="124"/>
      <c r="AI1003" s="127"/>
      <c r="AJ1003" s="127"/>
      <c r="AK1003" s="126"/>
      <c r="AL1003" s="122"/>
      <c r="AM1003" s="122"/>
      <c r="AN1003" s="122"/>
      <c r="AO1003" s="122"/>
      <c r="AP1003" s="122"/>
      <c r="AQ1003" s="124"/>
    </row>
    <row r="1004" spans="1:43" ht="15.75" customHeight="1">
      <c r="A1004" s="122"/>
      <c r="B1004" s="122"/>
      <c r="C1004" s="122"/>
      <c r="D1004" s="122"/>
      <c r="E1004" s="122"/>
      <c r="F1004" s="122"/>
      <c r="G1004" s="122"/>
      <c r="H1004" s="122"/>
      <c r="I1004" s="122"/>
      <c r="J1004" s="122"/>
      <c r="K1004" s="122"/>
      <c r="L1004" s="122"/>
      <c r="M1004" s="123"/>
      <c r="N1004" s="123"/>
      <c r="O1004" s="122"/>
      <c r="P1004" s="124"/>
      <c r="Q1004" s="122"/>
      <c r="R1004" s="122"/>
      <c r="S1004" s="122"/>
      <c r="T1004" s="122"/>
      <c r="U1004" s="122"/>
      <c r="V1004" s="124"/>
      <c r="W1004" s="125"/>
      <c r="X1004" s="122"/>
      <c r="Y1004" s="122"/>
      <c r="Z1004" s="122"/>
      <c r="AA1004" s="126"/>
      <c r="AB1004" s="122"/>
      <c r="AC1004" s="122"/>
      <c r="AD1004" s="127"/>
      <c r="AE1004" s="127"/>
      <c r="AF1004" s="127"/>
      <c r="AG1004" s="127"/>
      <c r="AH1004" s="124"/>
      <c r="AI1004" s="127"/>
      <c r="AJ1004" s="127"/>
      <c r="AK1004" s="126"/>
      <c r="AL1004" s="122"/>
      <c r="AM1004" s="122"/>
      <c r="AN1004" s="122"/>
      <c r="AO1004" s="122"/>
      <c r="AP1004" s="122"/>
      <c r="AQ1004" s="124"/>
    </row>
    <row r="1005" spans="1:43" ht="15.75" customHeight="1">
      <c r="A1005" s="122"/>
      <c r="B1005" s="122"/>
      <c r="C1005" s="122"/>
      <c r="D1005" s="122"/>
      <c r="E1005" s="122"/>
      <c r="F1005" s="122"/>
      <c r="G1005" s="122"/>
      <c r="H1005" s="122"/>
      <c r="I1005" s="122"/>
      <c r="J1005" s="122"/>
      <c r="K1005" s="122"/>
      <c r="L1005" s="122"/>
      <c r="M1005" s="123"/>
      <c r="N1005" s="123"/>
      <c r="O1005" s="122"/>
      <c r="P1005" s="124"/>
      <c r="Q1005" s="122"/>
      <c r="R1005" s="122"/>
      <c r="S1005" s="122"/>
      <c r="T1005" s="122"/>
      <c r="U1005" s="122"/>
      <c r="V1005" s="124"/>
      <c r="W1005" s="125"/>
      <c r="X1005" s="122"/>
      <c r="Y1005" s="122"/>
      <c r="Z1005" s="122"/>
      <c r="AA1005" s="126"/>
      <c r="AB1005" s="122"/>
      <c r="AC1005" s="122"/>
      <c r="AD1005" s="127"/>
      <c r="AE1005" s="127"/>
      <c r="AF1005" s="127"/>
      <c r="AG1005" s="127"/>
      <c r="AH1005" s="124"/>
      <c r="AI1005" s="127"/>
      <c r="AJ1005" s="127"/>
      <c r="AK1005" s="126"/>
      <c r="AL1005" s="122"/>
      <c r="AM1005" s="122"/>
      <c r="AN1005" s="122"/>
      <c r="AO1005" s="122"/>
      <c r="AP1005" s="122"/>
      <c r="AQ1005" s="124"/>
    </row>
    <row r="1006" spans="1:43" ht="15.75" customHeight="1">
      <c r="A1006" s="122"/>
      <c r="B1006" s="122"/>
      <c r="C1006" s="122"/>
      <c r="D1006" s="122"/>
      <c r="E1006" s="122"/>
      <c r="F1006" s="122"/>
      <c r="G1006" s="122"/>
      <c r="H1006" s="122"/>
      <c r="I1006" s="122"/>
      <c r="J1006" s="122"/>
      <c r="K1006" s="122"/>
      <c r="L1006" s="122"/>
      <c r="M1006" s="123"/>
      <c r="N1006" s="123"/>
      <c r="O1006" s="122"/>
      <c r="P1006" s="124"/>
      <c r="Q1006" s="122"/>
      <c r="R1006" s="122"/>
      <c r="S1006" s="122"/>
      <c r="T1006" s="122"/>
      <c r="U1006" s="122"/>
      <c r="V1006" s="124"/>
      <c r="W1006" s="125"/>
      <c r="X1006" s="122"/>
      <c r="Y1006" s="122"/>
      <c r="Z1006" s="122"/>
      <c r="AA1006" s="126"/>
      <c r="AB1006" s="122"/>
      <c r="AC1006" s="122"/>
      <c r="AD1006" s="127"/>
      <c r="AE1006" s="127"/>
      <c r="AF1006" s="127"/>
      <c r="AG1006" s="127"/>
      <c r="AH1006" s="124"/>
      <c r="AI1006" s="127"/>
      <c r="AJ1006" s="127"/>
      <c r="AK1006" s="126"/>
      <c r="AL1006" s="122"/>
      <c r="AM1006" s="122"/>
      <c r="AN1006" s="122"/>
      <c r="AO1006" s="122"/>
      <c r="AP1006" s="122"/>
      <c r="AQ1006" s="124"/>
    </row>
    <row r="1007" spans="1:43" ht="15.75" customHeight="1">
      <c r="A1007" s="122"/>
      <c r="B1007" s="122"/>
      <c r="C1007" s="122"/>
      <c r="D1007" s="122"/>
      <c r="E1007" s="122"/>
      <c r="F1007" s="122"/>
      <c r="G1007" s="122"/>
      <c r="H1007" s="122"/>
      <c r="I1007" s="122"/>
      <c r="J1007" s="122"/>
      <c r="K1007" s="122"/>
      <c r="L1007" s="122"/>
      <c r="M1007" s="123"/>
      <c r="N1007" s="123"/>
      <c r="O1007" s="122"/>
      <c r="P1007" s="124"/>
      <c r="Q1007" s="122"/>
      <c r="R1007" s="122"/>
      <c r="S1007" s="122"/>
      <c r="T1007" s="122"/>
      <c r="U1007" s="122"/>
      <c r="V1007" s="124"/>
      <c r="W1007" s="125"/>
      <c r="X1007" s="122"/>
      <c r="Y1007" s="122"/>
      <c r="Z1007" s="122"/>
      <c r="AA1007" s="126"/>
      <c r="AB1007" s="122"/>
      <c r="AC1007" s="122"/>
      <c r="AD1007" s="127"/>
      <c r="AE1007" s="127"/>
      <c r="AF1007" s="127"/>
      <c r="AG1007" s="127"/>
      <c r="AH1007" s="124"/>
      <c r="AI1007" s="127"/>
      <c r="AJ1007" s="127"/>
      <c r="AK1007" s="126"/>
      <c r="AL1007" s="122"/>
      <c r="AM1007" s="122"/>
      <c r="AN1007" s="122"/>
      <c r="AO1007" s="122"/>
      <c r="AP1007" s="122"/>
      <c r="AQ1007" s="124"/>
    </row>
    <row r="1008" spans="1:43" ht="15.75" customHeight="1">
      <c r="A1008" s="122"/>
      <c r="B1008" s="122"/>
      <c r="C1008" s="122"/>
      <c r="D1008" s="122"/>
      <c r="E1008" s="122"/>
      <c r="F1008" s="122"/>
      <c r="G1008" s="122"/>
      <c r="H1008" s="122"/>
      <c r="I1008" s="122"/>
      <c r="J1008" s="122"/>
      <c r="K1008" s="122"/>
      <c r="L1008" s="122"/>
      <c r="M1008" s="123"/>
      <c r="N1008" s="123"/>
      <c r="O1008" s="122"/>
      <c r="P1008" s="124"/>
      <c r="Q1008" s="122"/>
      <c r="R1008" s="122"/>
      <c r="S1008" s="122"/>
      <c r="T1008" s="122"/>
      <c r="U1008" s="122"/>
      <c r="V1008" s="124"/>
      <c r="W1008" s="125"/>
      <c r="X1008" s="122"/>
      <c r="Y1008" s="122"/>
      <c r="Z1008" s="122"/>
      <c r="AA1008" s="126"/>
      <c r="AB1008" s="122"/>
      <c r="AC1008" s="122"/>
      <c r="AD1008" s="127"/>
      <c r="AE1008" s="127"/>
      <c r="AF1008" s="127"/>
      <c r="AG1008" s="127"/>
      <c r="AH1008" s="124"/>
      <c r="AI1008" s="127"/>
      <c r="AJ1008" s="127"/>
      <c r="AK1008" s="126"/>
      <c r="AL1008" s="122"/>
      <c r="AM1008" s="122"/>
      <c r="AN1008" s="122"/>
      <c r="AO1008" s="122"/>
      <c r="AP1008" s="122"/>
      <c r="AQ1008" s="124"/>
    </row>
    <row r="1009" spans="1:43" ht="15.75" customHeight="1">
      <c r="A1009" s="122"/>
      <c r="B1009" s="122"/>
      <c r="C1009" s="122"/>
      <c r="D1009" s="122"/>
      <c r="E1009" s="122"/>
      <c r="F1009" s="122"/>
      <c r="G1009" s="122"/>
      <c r="H1009" s="122"/>
      <c r="I1009" s="122"/>
      <c r="J1009" s="122"/>
      <c r="K1009" s="122"/>
      <c r="L1009" s="122"/>
      <c r="M1009" s="123"/>
      <c r="N1009" s="123"/>
      <c r="O1009" s="122"/>
      <c r="P1009" s="124"/>
      <c r="Q1009" s="122"/>
      <c r="R1009" s="122"/>
      <c r="S1009" s="122"/>
      <c r="T1009" s="122"/>
      <c r="U1009" s="122"/>
      <c r="V1009" s="124"/>
      <c r="W1009" s="125"/>
      <c r="X1009" s="122"/>
      <c r="Y1009" s="122"/>
      <c r="Z1009" s="122"/>
      <c r="AA1009" s="126"/>
      <c r="AB1009" s="122"/>
      <c r="AC1009" s="122"/>
      <c r="AD1009" s="127"/>
      <c r="AE1009" s="127"/>
      <c r="AF1009" s="127"/>
      <c r="AG1009" s="127"/>
      <c r="AH1009" s="124"/>
      <c r="AI1009" s="127"/>
      <c r="AJ1009" s="127"/>
      <c r="AK1009" s="126"/>
      <c r="AL1009" s="122"/>
      <c r="AM1009" s="122"/>
      <c r="AN1009" s="122"/>
      <c r="AO1009" s="122"/>
      <c r="AP1009" s="122"/>
      <c r="AQ1009" s="124"/>
    </row>
    <row r="1010" spans="1:43" ht="15.75" customHeight="1">
      <c r="A1010" s="122"/>
      <c r="B1010" s="122"/>
      <c r="C1010" s="122"/>
      <c r="D1010" s="122"/>
      <c r="E1010" s="122"/>
      <c r="F1010" s="122"/>
      <c r="G1010" s="122"/>
      <c r="H1010" s="122"/>
      <c r="I1010" s="122"/>
      <c r="J1010" s="122"/>
      <c r="K1010" s="122"/>
      <c r="L1010" s="122"/>
      <c r="M1010" s="123"/>
      <c r="N1010" s="123"/>
      <c r="O1010" s="122"/>
      <c r="P1010" s="124"/>
      <c r="Q1010" s="122"/>
      <c r="R1010" s="122"/>
      <c r="S1010" s="122"/>
      <c r="T1010" s="122"/>
      <c r="U1010" s="122"/>
      <c r="V1010" s="124"/>
      <c r="W1010" s="125"/>
      <c r="X1010" s="122"/>
      <c r="Y1010" s="122"/>
      <c r="Z1010" s="122"/>
      <c r="AA1010" s="126"/>
      <c r="AB1010" s="122"/>
      <c r="AC1010" s="122"/>
      <c r="AD1010" s="127"/>
      <c r="AE1010" s="127"/>
      <c r="AF1010" s="127"/>
      <c r="AG1010" s="127"/>
      <c r="AH1010" s="124"/>
      <c r="AI1010" s="127"/>
      <c r="AJ1010" s="127"/>
      <c r="AK1010" s="126"/>
      <c r="AL1010" s="122"/>
      <c r="AM1010" s="122"/>
      <c r="AN1010" s="122"/>
      <c r="AO1010" s="122"/>
      <c r="AP1010" s="122"/>
      <c r="AQ1010" s="124"/>
    </row>
    <row r="1011" spans="1:43" ht="15.75" customHeight="1">
      <c r="A1011" s="122"/>
      <c r="B1011" s="122"/>
      <c r="C1011" s="122"/>
      <c r="D1011" s="122"/>
      <c r="E1011" s="122"/>
      <c r="F1011" s="122"/>
      <c r="G1011" s="122"/>
      <c r="H1011" s="122"/>
      <c r="I1011" s="122"/>
      <c r="J1011" s="122"/>
      <c r="K1011" s="122"/>
      <c r="L1011" s="122"/>
      <c r="M1011" s="123"/>
      <c r="N1011" s="123"/>
      <c r="O1011" s="122"/>
      <c r="P1011" s="124"/>
      <c r="Q1011" s="122"/>
      <c r="R1011" s="122"/>
      <c r="S1011" s="122"/>
      <c r="T1011" s="122"/>
      <c r="U1011" s="122"/>
      <c r="V1011" s="124"/>
      <c r="W1011" s="125"/>
      <c r="X1011" s="122"/>
      <c r="Y1011" s="122"/>
      <c r="Z1011" s="122"/>
      <c r="AA1011" s="126"/>
      <c r="AB1011" s="122"/>
      <c r="AC1011" s="122"/>
      <c r="AD1011" s="127"/>
      <c r="AE1011" s="127"/>
      <c r="AF1011" s="127"/>
      <c r="AG1011" s="127"/>
      <c r="AH1011" s="124"/>
      <c r="AI1011" s="127"/>
      <c r="AJ1011" s="127"/>
      <c r="AK1011" s="126"/>
      <c r="AL1011" s="122"/>
      <c r="AM1011" s="122"/>
      <c r="AN1011" s="122"/>
      <c r="AO1011" s="122"/>
      <c r="AP1011" s="122"/>
      <c r="AQ1011" s="124"/>
    </row>
    <row r="1012" spans="1:43" ht="15.75" customHeight="1">
      <c r="A1012" s="122"/>
      <c r="B1012" s="122"/>
      <c r="C1012" s="122"/>
      <c r="D1012" s="122"/>
      <c r="E1012" s="122"/>
      <c r="F1012" s="122"/>
      <c r="G1012" s="122"/>
      <c r="H1012" s="122"/>
      <c r="I1012" s="122"/>
      <c r="J1012" s="122"/>
      <c r="K1012" s="122"/>
      <c r="L1012" s="122"/>
      <c r="M1012" s="123"/>
      <c r="N1012" s="123"/>
      <c r="O1012" s="122"/>
      <c r="P1012" s="124"/>
      <c r="Q1012" s="122"/>
      <c r="R1012" s="122"/>
      <c r="S1012" s="122"/>
      <c r="T1012" s="122"/>
      <c r="U1012" s="122"/>
      <c r="V1012" s="124"/>
      <c r="W1012" s="125"/>
      <c r="X1012" s="122"/>
      <c r="Y1012" s="122"/>
      <c r="Z1012" s="122"/>
      <c r="AA1012" s="126"/>
      <c r="AB1012" s="122"/>
      <c r="AC1012" s="122"/>
      <c r="AD1012" s="127"/>
      <c r="AE1012" s="127"/>
      <c r="AF1012" s="127"/>
      <c r="AG1012" s="127"/>
      <c r="AH1012" s="124"/>
      <c r="AI1012" s="127"/>
      <c r="AJ1012" s="127"/>
      <c r="AK1012" s="126"/>
      <c r="AL1012" s="122"/>
      <c r="AM1012" s="122"/>
      <c r="AN1012" s="122"/>
      <c r="AO1012" s="122"/>
      <c r="AP1012" s="122"/>
      <c r="AQ1012" s="124"/>
    </row>
    <row r="1013" spans="1:43" ht="15.75" customHeight="1">
      <c r="A1013" s="122"/>
      <c r="B1013" s="122"/>
      <c r="C1013" s="122"/>
      <c r="D1013" s="122"/>
      <c r="E1013" s="122"/>
      <c r="F1013" s="122"/>
      <c r="G1013" s="122"/>
      <c r="H1013" s="122"/>
      <c r="I1013" s="122"/>
      <c r="J1013" s="122"/>
      <c r="K1013" s="122"/>
      <c r="L1013" s="122"/>
      <c r="M1013" s="123"/>
      <c r="N1013" s="123"/>
      <c r="O1013" s="122"/>
      <c r="P1013" s="124"/>
      <c r="Q1013" s="122"/>
      <c r="R1013" s="122"/>
      <c r="S1013" s="122"/>
      <c r="T1013" s="122"/>
      <c r="U1013" s="122"/>
      <c r="V1013" s="124"/>
      <c r="W1013" s="125"/>
      <c r="X1013" s="122"/>
      <c r="Y1013" s="122"/>
      <c r="Z1013" s="122"/>
      <c r="AA1013" s="126"/>
      <c r="AB1013" s="122"/>
      <c r="AC1013" s="122"/>
      <c r="AD1013" s="127"/>
      <c r="AE1013" s="127"/>
      <c r="AF1013" s="127"/>
      <c r="AG1013" s="127"/>
      <c r="AH1013" s="124"/>
      <c r="AI1013" s="127"/>
      <c r="AJ1013" s="127"/>
      <c r="AK1013" s="126"/>
      <c r="AL1013" s="122"/>
      <c r="AM1013" s="122"/>
      <c r="AN1013" s="122"/>
      <c r="AO1013" s="122"/>
      <c r="AP1013" s="122"/>
      <c r="AQ1013" s="124"/>
    </row>
    <row r="1014" spans="1:43" ht="15.75" customHeight="1">
      <c r="A1014" s="122"/>
      <c r="B1014" s="122"/>
      <c r="C1014" s="122"/>
      <c r="D1014" s="122"/>
      <c r="E1014" s="122"/>
      <c r="F1014" s="122"/>
      <c r="G1014" s="122"/>
      <c r="H1014" s="122"/>
      <c r="I1014" s="122"/>
      <c r="J1014" s="122"/>
      <c r="K1014" s="122"/>
      <c r="L1014" s="122"/>
      <c r="M1014" s="123"/>
      <c r="N1014" s="123"/>
      <c r="O1014" s="122"/>
      <c r="P1014" s="124"/>
      <c r="Q1014" s="122"/>
      <c r="R1014" s="122"/>
      <c r="S1014" s="122"/>
      <c r="T1014" s="122"/>
      <c r="U1014" s="122"/>
      <c r="V1014" s="124"/>
      <c r="W1014" s="125"/>
      <c r="X1014" s="122"/>
      <c r="Y1014" s="122"/>
      <c r="Z1014" s="122"/>
      <c r="AA1014" s="126"/>
      <c r="AB1014" s="122"/>
      <c r="AC1014" s="122"/>
      <c r="AD1014" s="127"/>
      <c r="AE1014" s="127"/>
      <c r="AF1014" s="127"/>
      <c r="AG1014" s="127"/>
      <c r="AH1014" s="124"/>
      <c r="AI1014" s="127"/>
      <c r="AJ1014" s="127"/>
      <c r="AK1014" s="126"/>
      <c r="AL1014" s="122"/>
      <c r="AM1014" s="122"/>
      <c r="AN1014" s="122"/>
      <c r="AO1014" s="122"/>
      <c r="AP1014" s="122"/>
      <c r="AQ1014" s="124"/>
    </row>
    <row r="1015" spans="1:43" ht="15.75" customHeight="1">
      <c r="A1015" s="122"/>
      <c r="B1015" s="122"/>
      <c r="C1015" s="122"/>
      <c r="D1015" s="122"/>
      <c r="E1015" s="122"/>
      <c r="F1015" s="122"/>
      <c r="G1015" s="122"/>
      <c r="H1015" s="122"/>
      <c r="I1015" s="122"/>
      <c r="J1015" s="122"/>
      <c r="K1015" s="122"/>
      <c r="L1015" s="122"/>
      <c r="M1015" s="123"/>
      <c r="N1015" s="123"/>
      <c r="O1015" s="122"/>
      <c r="P1015" s="124"/>
      <c r="Q1015" s="122"/>
      <c r="R1015" s="122"/>
      <c r="S1015" s="122"/>
      <c r="T1015" s="122"/>
      <c r="U1015" s="122"/>
      <c r="V1015" s="124"/>
      <c r="W1015" s="125"/>
      <c r="X1015" s="122"/>
      <c r="Y1015" s="122"/>
      <c r="Z1015" s="122"/>
      <c r="AA1015" s="126"/>
      <c r="AB1015" s="122"/>
      <c r="AC1015" s="122"/>
      <c r="AD1015" s="127"/>
      <c r="AE1015" s="127"/>
      <c r="AF1015" s="127"/>
      <c r="AG1015" s="127"/>
      <c r="AH1015" s="124"/>
      <c r="AI1015" s="127"/>
      <c r="AJ1015" s="127"/>
      <c r="AK1015" s="126"/>
      <c r="AL1015" s="122"/>
      <c r="AM1015" s="122"/>
      <c r="AN1015" s="122"/>
      <c r="AO1015" s="122"/>
      <c r="AP1015" s="122"/>
      <c r="AQ1015" s="124"/>
    </row>
    <row r="1016" spans="1:43" ht="15.75" customHeight="1">
      <c r="A1016" s="122"/>
      <c r="B1016" s="122"/>
      <c r="C1016" s="122"/>
      <c r="D1016" s="122"/>
      <c r="E1016" s="122"/>
      <c r="F1016" s="122"/>
      <c r="G1016" s="122"/>
      <c r="H1016" s="122"/>
      <c r="I1016" s="122"/>
      <c r="J1016" s="122"/>
      <c r="K1016" s="122"/>
      <c r="L1016" s="122"/>
      <c r="M1016" s="123"/>
      <c r="N1016" s="123"/>
      <c r="O1016" s="122"/>
      <c r="P1016" s="124"/>
      <c r="Q1016" s="122"/>
      <c r="R1016" s="122"/>
      <c r="S1016" s="122"/>
      <c r="T1016" s="122"/>
      <c r="U1016" s="122"/>
      <c r="V1016" s="124"/>
      <c r="W1016" s="125"/>
      <c r="X1016" s="122"/>
      <c r="Y1016" s="122"/>
      <c r="Z1016" s="122"/>
      <c r="AA1016" s="126"/>
      <c r="AB1016" s="122"/>
      <c r="AC1016" s="122"/>
      <c r="AD1016" s="127"/>
      <c r="AE1016" s="127"/>
      <c r="AF1016" s="127"/>
      <c r="AG1016" s="127"/>
      <c r="AH1016" s="124"/>
      <c r="AI1016" s="127"/>
      <c r="AJ1016" s="127"/>
      <c r="AK1016" s="126"/>
      <c r="AL1016" s="122"/>
      <c r="AM1016" s="122"/>
      <c r="AN1016" s="122"/>
      <c r="AO1016" s="122"/>
      <c r="AP1016" s="122"/>
      <c r="AQ1016" s="124"/>
    </row>
    <row r="1017" spans="1:43" ht="15.75" customHeight="1">
      <c r="A1017" s="122"/>
      <c r="B1017" s="122"/>
      <c r="C1017" s="122"/>
      <c r="D1017" s="122"/>
      <c r="E1017" s="122"/>
      <c r="F1017" s="122"/>
      <c r="G1017" s="122"/>
      <c r="H1017" s="122"/>
      <c r="I1017" s="122"/>
      <c r="J1017" s="122"/>
      <c r="K1017" s="122"/>
      <c r="L1017" s="122"/>
      <c r="M1017" s="123"/>
      <c r="N1017" s="123"/>
      <c r="O1017" s="122"/>
      <c r="P1017" s="124"/>
      <c r="Q1017" s="122"/>
      <c r="R1017" s="122"/>
      <c r="S1017" s="122"/>
      <c r="T1017" s="122"/>
      <c r="U1017" s="122"/>
      <c r="V1017" s="124"/>
      <c r="W1017" s="125"/>
      <c r="X1017" s="122"/>
      <c r="Y1017" s="122"/>
      <c r="Z1017" s="122"/>
      <c r="AA1017" s="126"/>
      <c r="AB1017" s="122"/>
      <c r="AC1017" s="122"/>
      <c r="AD1017" s="127"/>
      <c r="AE1017" s="127"/>
      <c r="AF1017" s="127"/>
      <c r="AG1017" s="127"/>
      <c r="AH1017" s="124"/>
      <c r="AI1017" s="127"/>
      <c r="AJ1017" s="127"/>
      <c r="AK1017" s="126"/>
      <c r="AL1017" s="122"/>
      <c r="AM1017" s="122"/>
      <c r="AN1017" s="122"/>
      <c r="AO1017" s="122"/>
      <c r="AP1017" s="122"/>
      <c r="AQ1017" s="124"/>
    </row>
    <row r="1018" spans="1:43" ht="15.75" customHeight="1">
      <c r="A1018" s="122"/>
      <c r="B1018" s="122"/>
      <c r="C1018" s="122"/>
      <c r="D1018" s="122"/>
      <c r="E1018" s="122"/>
      <c r="F1018" s="122"/>
      <c r="G1018" s="122"/>
      <c r="H1018" s="122"/>
      <c r="I1018" s="122"/>
      <c r="J1018" s="122"/>
      <c r="K1018" s="122"/>
      <c r="L1018" s="122"/>
      <c r="M1018" s="123"/>
      <c r="N1018" s="123"/>
      <c r="O1018" s="122"/>
      <c r="P1018" s="124"/>
      <c r="Q1018" s="122"/>
      <c r="R1018" s="122"/>
      <c r="S1018" s="122"/>
      <c r="T1018" s="122"/>
      <c r="U1018" s="122"/>
      <c r="V1018" s="124"/>
      <c r="W1018" s="125"/>
      <c r="X1018" s="122"/>
      <c r="Y1018" s="122"/>
      <c r="Z1018" s="122"/>
      <c r="AA1018" s="126"/>
      <c r="AB1018" s="122"/>
      <c r="AC1018" s="122"/>
      <c r="AD1018" s="127"/>
      <c r="AE1018" s="127"/>
      <c r="AF1018" s="127"/>
      <c r="AG1018" s="127"/>
      <c r="AH1018" s="124"/>
      <c r="AI1018" s="127"/>
      <c r="AJ1018" s="127"/>
      <c r="AK1018" s="126"/>
      <c r="AL1018" s="122"/>
      <c r="AM1018" s="122"/>
      <c r="AN1018" s="122"/>
      <c r="AO1018" s="122"/>
      <c r="AP1018" s="122"/>
      <c r="AQ1018" s="124"/>
    </row>
    <row r="1019" spans="1:43" ht="15.75" customHeight="1">
      <c r="A1019" s="122"/>
      <c r="B1019" s="122"/>
      <c r="C1019" s="122"/>
      <c r="D1019" s="122"/>
      <c r="E1019" s="122"/>
      <c r="F1019" s="122"/>
      <c r="G1019" s="122"/>
      <c r="H1019" s="122"/>
      <c r="I1019" s="122"/>
      <c r="J1019" s="122"/>
      <c r="K1019" s="122"/>
      <c r="L1019" s="122"/>
      <c r="M1019" s="123"/>
      <c r="N1019" s="123"/>
      <c r="O1019" s="122"/>
      <c r="P1019" s="124"/>
      <c r="Q1019" s="122"/>
      <c r="R1019" s="122"/>
      <c r="S1019" s="122"/>
      <c r="T1019" s="122"/>
      <c r="U1019" s="122"/>
      <c r="V1019" s="124"/>
      <c r="W1019" s="125"/>
      <c r="X1019" s="122"/>
      <c r="Y1019" s="122"/>
      <c r="Z1019" s="122"/>
      <c r="AA1019" s="126"/>
      <c r="AB1019" s="122"/>
      <c r="AC1019" s="122"/>
      <c r="AD1019" s="127"/>
      <c r="AE1019" s="127"/>
      <c r="AF1019" s="127"/>
      <c r="AG1019" s="127"/>
      <c r="AH1019" s="124"/>
      <c r="AI1019" s="127"/>
      <c r="AJ1019" s="127"/>
      <c r="AK1019" s="126"/>
      <c r="AL1019" s="122"/>
      <c r="AM1019" s="122"/>
      <c r="AN1019" s="122"/>
      <c r="AO1019" s="122"/>
      <c r="AP1019" s="122"/>
      <c r="AQ1019" s="124"/>
    </row>
    <row r="1020" spans="1:43" ht="15.75" customHeight="1">
      <c r="A1020" s="122"/>
      <c r="B1020" s="122"/>
      <c r="C1020" s="122"/>
      <c r="D1020" s="122"/>
      <c r="E1020" s="122"/>
      <c r="F1020" s="122"/>
      <c r="G1020" s="122"/>
      <c r="H1020" s="122"/>
      <c r="I1020" s="122"/>
      <c r="J1020" s="122"/>
      <c r="K1020" s="122"/>
      <c r="L1020" s="122"/>
      <c r="M1020" s="123"/>
      <c r="N1020" s="123"/>
      <c r="O1020" s="122"/>
      <c r="P1020" s="124"/>
      <c r="Q1020" s="122"/>
      <c r="R1020" s="122"/>
      <c r="S1020" s="122"/>
      <c r="T1020" s="122"/>
      <c r="U1020" s="122"/>
      <c r="V1020" s="124"/>
      <c r="W1020" s="125"/>
      <c r="X1020" s="122"/>
      <c r="Y1020" s="122"/>
      <c r="Z1020" s="122"/>
      <c r="AA1020" s="126"/>
      <c r="AB1020" s="122"/>
      <c r="AC1020" s="122"/>
      <c r="AD1020" s="127"/>
      <c r="AE1020" s="127"/>
      <c r="AF1020" s="127"/>
      <c r="AG1020" s="127"/>
      <c r="AH1020" s="124"/>
      <c r="AI1020" s="127"/>
      <c r="AJ1020" s="127"/>
      <c r="AK1020" s="126"/>
      <c r="AL1020" s="122"/>
      <c r="AM1020" s="122"/>
      <c r="AN1020" s="122"/>
      <c r="AO1020" s="122"/>
      <c r="AP1020" s="122"/>
      <c r="AQ1020" s="124"/>
    </row>
    <row r="1021" spans="1:43" ht="15.75" customHeight="1">
      <c r="A1021" s="122"/>
      <c r="B1021" s="122"/>
      <c r="C1021" s="122"/>
      <c r="D1021" s="122"/>
      <c r="E1021" s="122"/>
      <c r="F1021" s="122"/>
      <c r="G1021" s="122"/>
      <c r="H1021" s="122"/>
      <c r="I1021" s="122"/>
      <c r="J1021" s="122"/>
      <c r="K1021" s="122"/>
      <c r="L1021" s="122"/>
      <c r="M1021" s="123"/>
      <c r="N1021" s="123"/>
      <c r="O1021" s="122"/>
      <c r="P1021" s="124"/>
      <c r="Q1021" s="122"/>
      <c r="R1021" s="122"/>
      <c r="S1021" s="122"/>
      <c r="T1021" s="122"/>
      <c r="U1021" s="122"/>
      <c r="V1021" s="124"/>
      <c r="W1021" s="125"/>
      <c r="X1021" s="122"/>
      <c r="Y1021" s="122"/>
      <c r="Z1021" s="122"/>
      <c r="AA1021" s="126"/>
      <c r="AB1021" s="122"/>
      <c r="AC1021" s="122"/>
      <c r="AD1021" s="127"/>
      <c r="AE1021" s="127"/>
      <c r="AF1021" s="127"/>
      <c r="AG1021" s="127"/>
      <c r="AH1021" s="124"/>
      <c r="AI1021" s="127"/>
      <c r="AJ1021" s="127"/>
      <c r="AK1021" s="126"/>
      <c r="AL1021" s="122"/>
      <c r="AM1021" s="122"/>
      <c r="AN1021" s="122"/>
      <c r="AO1021" s="122"/>
      <c r="AP1021" s="122"/>
      <c r="AQ1021" s="124"/>
    </row>
    <row r="1022" spans="1:43" ht="15.75" customHeight="1">
      <c r="A1022" s="122"/>
      <c r="B1022" s="122"/>
      <c r="C1022" s="122"/>
      <c r="D1022" s="122"/>
      <c r="E1022" s="122"/>
      <c r="F1022" s="122"/>
      <c r="G1022" s="122"/>
      <c r="H1022" s="122"/>
      <c r="I1022" s="122"/>
      <c r="J1022" s="122"/>
      <c r="K1022" s="122"/>
      <c r="L1022" s="122"/>
      <c r="M1022" s="123"/>
      <c r="N1022" s="123"/>
      <c r="O1022" s="122"/>
      <c r="P1022" s="124"/>
      <c r="Q1022" s="122"/>
      <c r="R1022" s="122"/>
      <c r="S1022" s="122"/>
      <c r="T1022" s="122"/>
      <c r="U1022" s="122"/>
      <c r="V1022" s="124"/>
      <c r="W1022" s="125"/>
      <c r="X1022" s="122"/>
      <c r="Y1022" s="122"/>
      <c r="Z1022" s="122"/>
      <c r="AA1022" s="126"/>
      <c r="AB1022" s="122"/>
      <c r="AC1022" s="122"/>
      <c r="AD1022" s="127"/>
      <c r="AE1022" s="127"/>
      <c r="AF1022" s="127"/>
      <c r="AG1022" s="127"/>
      <c r="AH1022" s="124"/>
      <c r="AI1022" s="127"/>
      <c r="AJ1022" s="127"/>
      <c r="AK1022" s="126"/>
      <c r="AL1022" s="122"/>
      <c r="AM1022" s="122"/>
      <c r="AN1022" s="122"/>
      <c r="AO1022" s="122"/>
      <c r="AP1022" s="122"/>
      <c r="AQ1022" s="124"/>
    </row>
    <row r="1023" spans="1:43" ht="15.75" customHeight="1">
      <c r="A1023" s="122"/>
      <c r="B1023" s="122"/>
      <c r="C1023" s="122"/>
      <c r="D1023" s="122"/>
      <c r="E1023" s="122"/>
      <c r="F1023" s="122"/>
      <c r="G1023" s="122"/>
      <c r="H1023" s="122"/>
      <c r="I1023" s="122"/>
      <c r="J1023" s="122"/>
      <c r="K1023" s="122"/>
      <c r="L1023" s="122"/>
      <c r="M1023" s="123"/>
      <c r="N1023" s="123"/>
      <c r="O1023" s="122"/>
      <c r="P1023" s="124"/>
      <c r="Q1023" s="122"/>
      <c r="R1023" s="122"/>
      <c r="S1023" s="122"/>
      <c r="T1023" s="122"/>
      <c r="U1023" s="122"/>
      <c r="V1023" s="124"/>
      <c r="W1023" s="125"/>
      <c r="X1023" s="122"/>
      <c r="Y1023" s="122"/>
      <c r="Z1023" s="122"/>
      <c r="AA1023" s="126"/>
      <c r="AB1023" s="122"/>
      <c r="AC1023" s="122"/>
      <c r="AD1023" s="127"/>
      <c r="AE1023" s="127"/>
      <c r="AF1023" s="127"/>
      <c r="AG1023" s="127"/>
      <c r="AH1023" s="124"/>
      <c r="AI1023" s="127"/>
      <c r="AJ1023" s="127"/>
      <c r="AK1023" s="126"/>
      <c r="AL1023" s="122"/>
      <c r="AM1023" s="122"/>
      <c r="AN1023" s="122"/>
      <c r="AO1023" s="122"/>
      <c r="AP1023" s="122"/>
      <c r="AQ1023" s="124"/>
    </row>
    <row r="1024" spans="1:43" ht="15.75" customHeight="1">
      <c r="A1024" s="122"/>
      <c r="B1024" s="122"/>
      <c r="C1024" s="122"/>
      <c r="D1024" s="122"/>
      <c r="E1024" s="122"/>
      <c r="F1024" s="122"/>
      <c r="G1024" s="122"/>
      <c r="H1024" s="122"/>
      <c r="I1024" s="122"/>
      <c r="J1024" s="122"/>
      <c r="K1024" s="122"/>
      <c r="L1024" s="122"/>
      <c r="M1024" s="123"/>
      <c r="N1024" s="123"/>
      <c r="O1024" s="122"/>
      <c r="P1024" s="124"/>
      <c r="Q1024" s="122"/>
      <c r="R1024" s="122"/>
      <c r="S1024" s="122"/>
      <c r="T1024" s="122"/>
      <c r="U1024" s="122"/>
      <c r="V1024" s="124"/>
      <c r="W1024" s="125"/>
      <c r="X1024" s="122"/>
      <c r="Y1024" s="122"/>
      <c r="Z1024" s="122"/>
      <c r="AA1024" s="126"/>
      <c r="AB1024" s="122"/>
      <c r="AC1024" s="122"/>
      <c r="AD1024" s="127"/>
      <c r="AE1024" s="127"/>
      <c r="AF1024" s="127"/>
      <c r="AG1024" s="127"/>
      <c r="AH1024" s="124"/>
      <c r="AI1024" s="127"/>
      <c r="AJ1024" s="127"/>
      <c r="AK1024" s="126"/>
      <c r="AL1024" s="122"/>
      <c r="AM1024" s="122"/>
      <c r="AN1024" s="122"/>
      <c r="AO1024" s="122"/>
      <c r="AP1024" s="122"/>
      <c r="AQ1024" s="124"/>
    </row>
    <row r="1025" spans="1:43" ht="15.75" customHeight="1">
      <c r="A1025" s="122"/>
      <c r="B1025" s="122"/>
      <c r="C1025" s="122"/>
      <c r="D1025" s="122"/>
      <c r="E1025" s="122"/>
      <c r="F1025" s="122"/>
      <c r="G1025" s="122"/>
      <c r="H1025" s="122"/>
      <c r="I1025" s="122"/>
      <c r="J1025" s="122"/>
      <c r="K1025" s="122"/>
      <c r="L1025" s="122"/>
      <c r="M1025" s="123"/>
      <c r="N1025" s="123"/>
      <c r="O1025" s="122"/>
      <c r="P1025" s="124"/>
      <c r="Q1025" s="122"/>
      <c r="R1025" s="122"/>
      <c r="S1025" s="122"/>
      <c r="T1025" s="122"/>
      <c r="U1025" s="122"/>
      <c r="V1025" s="124"/>
      <c r="W1025" s="125"/>
      <c r="X1025" s="122"/>
      <c r="Y1025" s="122"/>
      <c r="Z1025" s="122"/>
      <c r="AA1025" s="126"/>
      <c r="AB1025" s="122"/>
      <c r="AC1025" s="122"/>
      <c r="AD1025" s="127"/>
      <c r="AE1025" s="127"/>
      <c r="AF1025" s="127"/>
      <c r="AG1025" s="127"/>
      <c r="AH1025" s="124"/>
      <c r="AI1025" s="127"/>
      <c r="AJ1025" s="127"/>
      <c r="AK1025" s="126"/>
      <c r="AL1025" s="122"/>
      <c r="AM1025" s="122"/>
      <c r="AN1025" s="122"/>
      <c r="AO1025" s="122"/>
      <c r="AP1025" s="122"/>
      <c r="AQ1025" s="124"/>
    </row>
    <row r="1026" spans="1:43" ht="15.75" customHeight="1">
      <c r="A1026" s="122"/>
      <c r="B1026" s="122"/>
      <c r="C1026" s="122"/>
      <c r="D1026" s="122"/>
      <c r="E1026" s="122"/>
      <c r="F1026" s="122"/>
      <c r="G1026" s="122"/>
      <c r="H1026" s="122"/>
      <c r="I1026" s="122"/>
      <c r="J1026" s="122"/>
      <c r="K1026" s="122"/>
      <c r="L1026" s="122"/>
      <c r="M1026" s="123"/>
      <c r="N1026" s="123"/>
      <c r="O1026" s="122"/>
      <c r="P1026" s="124"/>
      <c r="Q1026" s="122"/>
      <c r="R1026" s="122"/>
      <c r="S1026" s="122"/>
      <c r="T1026" s="122"/>
      <c r="U1026" s="122"/>
      <c r="V1026" s="124"/>
      <c r="W1026" s="125"/>
      <c r="X1026" s="122"/>
      <c r="Y1026" s="122"/>
      <c r="Z1026" s="122"/>
      <c r="AA1026" s="126"/>
      <c r="AB1026" s="122"/>
      <c r="AC1026" s="122"/>
      <c r="AD1026" s="127"/>
      <c r="AE1026" s="127"/>
      <c r="AF1026" s="127"/>
      <c r="AG1026" s="127"/>
      <c r="AH1026" s="124"/>
      <c r="AI1026" s="127"/>
      <c r="AJ1026" s="127"/>
      <c r="AK1026" s="126"/>
      <c r="AL1026" s="122"/>
      <c r="AM1026" s="122"/>
      <c r="AN1026" s="122"/>
      <c r="AO1026" s="122"/>
      <c r="AP1026" s="122"/>
      <c r="AQ1026" s="124"/>
    </row>
    <row r="1027" spans="1:43" ht="15.75" customHeight="1">
      <c r="A1027" s="122"/>
      <c r="B1027" s="122"/>
      <c r="C1027" s="122"/>
      <c r="D1027" s="122"/>
      <c r="E1027" s="122"/>
      <c r="F1027" s="122"/>
      <c r="G1027" s="122"/>
      <c r="H1027" s="122"/>
      <c r="I1027" s="122"/>
      <c r="J1027" s="122"/>
      <c r="K1027" s="122"/>
      <c r="L1027" s="122"/>
      <c r="M1027" s="123"/>
      <c r="N1027" s="123"/>
      <c r="O1027" s="122"/>
      <c r="P1027" s="124"/>
      <c r="Q1027" s="122"/>
      <c r="R1027" s="122"/>
      <c r="S1027" s="122"/>
      <c r="T1027" s="122"/>
      <c r="U1027" s="122"/>
      <c r="V1027" s="124"/>
      <c r="W1027" s="125"/>
      <c r="X1027" s="122"/>
      <c r="Y1027" s="122"/>
      <c r="Z1027" s="122"/>
      <c r="AA1027" s="126"/>
      <c r="AB1027" s="122"/>
      <c r="AC1027" s="122"/>
      <c r="AD1027" s="127"/>
      <c r="AE1027" s="127"/>
      <c r="AF1027" s="127"/>
      <c r="AG1027" s="127"/>
      <c r="AH1027" s="124"/>
      <c r="AI1027" s="127"/>
      <c r="AJ1027" s="127"/>
      <c r="AK1027" s="126"/>
      <c r="AL1027" s="122"/>
      <c r="AM1027" s="122"/>
      <c r="AN1027" s="122"/>
      <c r="AO1027" s="122"/>
      <c r="AP1027" s="122"/>
      <c r="AQ1027" s="124"/>
    </row>
    <row r="1028" spans="1:43" ht="15.75" customHeight="1">
      <c r="A1028" s="122"/>
      <c r="B1028" s="122"/>
      <c r="C1028" s="122"/>
      <c r="D1028" s="122"/>
      <c r="E1028" s="122"/>
      <c r="F1028" s="122"/>
      <c r="G1028" s="122"/>
      <c r="H1028" s="122"/>
      <c r="I1028" s="122"/>
      <c r="J1028" s="122"/>
      <c r="K1028" s="122"/>
      <c r="L1028" s="122"/>
      <c r="M1028" s="123"/>
      <c r="N1028" s="123"/>
      <c r="O1028" s="122"/>
      <c r="P1028" s="124"/>
      <c r="Q1028" s="122"/>
      <c r="R1028" s="122"/>
      <c r="S1028" s="122"/>
      <c r="T1028" s="122"/>
      <c r="U1028" s="122"/>
      <c r="V1028" s="124"/>
      <c r="W1028" s="125"/>
      <c r="X1028" s="122"/>
      <c r="Y1028" s="122"/>
      <c r="Z1028" s="122"/>
      <c r="AA1028" s="126"/>
      <c r="AB1028" s="122"/>
      <c r="AC1028" s="122"/>
      <c r="AD1028" s="127"/>
      <c r="AE1028" s="127"/>
      <c r="AF1028" s="127"/>
      <c r="AG1028" s="127"/>
      <c r="AH1028" s="124"/>
      <c r="AI1028" s="127"/>
      <c r="AJ1028" s="127"/>
      <c r="AK1028" s="126"/>
      <c r="AL1028" s="122"/>
      <c r="AM1028" s="122"/>
      <c r="AN1028" s="122"/>
      <c r="AO1028" s="122"/>
      <c r="AP1028" s="122"/>
      <c r="AQ1028" s="124"/>
    </row>
    <row r="1029" spans="1:43" ht="15.75" customHeight="1">
      <c r="A1029" s="122"/>
      <c r="B1029" s="122"/>
      <c r="C1029" s="122"/>
      <c r="D1029" s="122"/>
      <c r="E1029" s="122"/>
      <c r="F1029" s="122"/>
      <c r="G1029" s="122"/>
      <c r="H1029" s="122"/>
      <c r="I1029" s="122"/>
      <c r="J1029" s="122"/>
      <c r="K1029" s="122"/>
      <c r="L1029" s="122"/>
      <c r="M1029" s="123"/>
      <c r="N1029" s="123"/>
      <c r="O1029" s="122"/>
      <c r="P1029" s="124"/>
      <c r="Q1029" s="122"/>
      <c r="R1029" s="122"/>
      <c r="S1029" s="122"/>
      <c r="T1029" s="122"/>
      <c r="U1029" s="122"/>
      <c r="V1029" s="124"/>
      <c r="W1029" s="125"/>
      <c r="X1029" s="122"/>
      <c r="Y1029" s="122"/>
      <c r="Z1029" s="122"/>
      <c r="AA1029" s="126"/>
      <c r="AB1029" s="122"/>
      <c r="AC1029" s="122"/>
      <c r="AD1029" s="127"/>
      <c r="AE1029" s="127"/>
      <c r="AF1029" s="127"/>
      <c r="AG1029" s="127"/>
      <c r="AH1029" s="124"/>
      <c r="AI1029" s="127"/>
      <c r="AJ1029" s="127"/>
      <c r="AK1029" s="126"/>
      <c r="AL1029" s="122"/>
      <c r="AM1029" s="122"/>
      <c r="AN1029" s="122"/>
      <c r="AO1029" s="122"/>
      <c r="AP1029" s="122"/>
      <c r="AQ1029" s="124"/>
    </row>
    <row r="1030" spans="1:43" ht="15.75" customHeight="1">
      <c r="A1030" s="122"/>
      <c r="B1030" s="122"/>
      <c r="C1030" s="122"/>
      <c r="D1030" s="122"/>
      <c r="E1030" s="122"/>
      <c r="F1030" s="122"/>
      <c r="G1030" s="122"/>
      <c r="H1030" s="122"/>
      <c r="I1030" s="122"/>
      <c r="J1030" s="122"/>
      <c r="K1030" s="122"/>
      <c r="L1030" s="122"/>
      <c r="M1030" s="123"/>
      <c r="N1030" s="123"/>
      <c r="O1030" s="122"/>
      <c r="P1030" s="124"/>
      <c r="Q1030" s="122"/>
      <c r="R1030" s="122"/>
      <c r="S1030" s="122"/>
      <c r="T1030" s="122"/>
      <c r="U1030" s="122"/>
      <c r="V1030" s="124"/>
      <c r="W1030" s="125"/>
      <c r="X1030" s="122"/>
      <c r="Y1030" s="122"/>
      <c r="Z1030" s="122"/>
      <c r="AA1030" s="126"/>
      <c r="AB1030" s="122"/>
      <c r="AC1030" s="122"/>
      <c r="AD1030" s="127"/>
      <c r="AE1030" s="127"/>
      <c r="AF1030" s="127"/>
      <c r="AG1030" s="127"/>
      <c r="AH1030" s="124"/>
      <c r="AI1030" s="127"/>
      <c r="AJ1030" s="127"/>
      <c r="AK1030" s="126"/>
      <c r="AL1030" s="122"/>
      <c r="AM1030" s="122"/>
      <c r="AN1030" s="122"/>
      <c r="AO1030" s="122"/>
      <c r="AP1030" s="122"/>
      <c r="AQ1030" s="124"/>
    </row>
    <row r="1031" spans="1:43" ht="15.75" customHeight="1">
      <c r="A1031" s="122"/>
      <c r="B1031" s="122"/>
      <c r="C1031" s="122"/>
      <c r="D1031" s="122"/>
      <c r="E1031" s="122"/>
      <c r="F1031" s="122"/>
      <c r="G1031" s="122"/>
      <c r="H1031" s="122"/>
      <c r="I1031" s="122"/>
      <c r="J1031" s="122"/>
      <c r="K1031" s="122"/>
      <c r="L1031" s="122"/>
      <c r="M1031" s="123"/>
      <c r="N1031" s="123"/>
      <c r="O1031" s="122"/>
      <c r="P1031" s="124"/>
      <c r="Q1031" s="122"/>
      <c r="R1031" s="122"/>
      <c r="S1031" s="122"/>
      <c r="T1031" s="122"/>
      <c r="U1031" s="122"/>
      <c r="V1031" s="124"/>
      <c r="W1031" s="125"/>
      <c r="X1031" s="122"/>
      <c r="Y1031" s="122"/>
      <c r="Z1031" s="122"/>
      <c r="AA1031" s="126"/>
      <c r="AB1031" s="122"/>
      <c r="AC1031" s="122"/>
      <c r="AD1031" s="127"/>
      <c r="AE1031" s="127"/>
      <c r="AF1031" s="127"/>
      <c r="AG1031" s="127"/>
      <c r="AH1031" s="124"/>
      <c r="AI1031" s="127"/>
      <c r="AJ1031" s="127"/>
      <c r="AK1031" s="126"/>
      <c r="AL1031" s="122"/>
      <c r="AM1031" s="122"/>
      <c r="AN1031" s="122"/>
      <c r="AO1031" s="122"/>
      <c r="AP1031" s="122"/>
      <c r="AQ1031" s="124"/>
    </row>
    <row r="1032" spans="1:43" ht="15.75" customHeight="1">
      <c r="A1032" s="122"/>
      <c r="B1032" s="122"/>
      <c r="C1032" s="122"/>
      <c r="D1032" s="122"/>
      <c r="E1032" s="122"/>
      <c r="F1032" s="122"/>
      <c r="G1032" s="122"/>
      <c r="H1032" s="122"/>
      <c r="I1032" s="122"/>
      <c r="J1032" s="122"/>
      <c r="K1032" s="122"/>
      <c r="L1032" s="122"/>
      <c r="M1032" s="123"/>
      <c r="N1032" s="123"/>
      <c r="O1032" s="122"/>
      <c r="P1032" s="124"/>
      <c r="Q1032" s="122"/>
      <c r="R1032" s="122"/>
      <c r="S1032" s="122"/>
      <c r="T1032" s="122"/>
      <c r="U1032" s="122"/>
      <c r="V1032" s="124"/>
      <c r="W1032" s="125"/>
      <c r="X1032" s="122"/>
      <c r="Y1032" s="122"/>
      <c r="Z1032" s="122"/>
      <c r="AA1032" s="126"/>
      <c r="AB1032" s="122"/>
      <c r="AC1032" s="122"/>
      <c r="AD1032" s="127"/>
      <c r="AE1032" s="127"/>
      <c r="AF1032" s="127"/>
      <c r="AG1032" s="127"/>
      <c r="AH1032" s="124"/>
      <c r="AI1032" s="127"/>
      <c r="AJ1032" s="127"/>
      <c r="AK1032" s="126"/>
      <c r="AL1032" s="122"/>
      <c r="AM1032" s="122"/>
      <c r="AN1032" s="122"/>
      <c r="AO1032" s="122"/>
      <c r="AP1032" s="122"/>
      <c r="AQ1032" s="124"/>
    </row>
    <row r="1033" spans="1:43" ht="15.75" customHeight="1">
      <c r="A1033" s="122"/>
      <c r="B1033" s="122"/>
      <c r="C1033" s="122"/>
      <c r="D1033" s="122"/>
      <c r="E1033" s="122"/>
      <c r="F1033" s="122"/>
      <c r="G1033" s="122"/>
      <c r="H1033" s="122"/>
      <c r="I1033" s="122"/>
      <c r="J1033" s="122"/>
      <c r="K1033" s="122"/>
      <c r="L1033" s="122"/>
      <c r="M1033" s="123"/>
      <c r="N1033" s="123"/>
      <c r="O1033" s="122"/>
      <c r="P1033" s="124"/>
      <c r="Q1033" s="122"/>
      <c r="R1033" s="122"/>
      <c r="S1033" s="122"/>
      <c r="T1033" s="122"/>
      <c r="U1033" s="122"/>
      <c r="V1033" s="124"/>
      <c r="W1033" s="125"/>
      <c r="X1033" s="122"/>
      <c r="Y1033" s="122"/>
      <c r="Z1033" s="122"/>
      <c r="AA1033" s="126"/>
      <c r="AB1033" s="122"/>
      <c r="AC1033" s="122"/>
      <c r="AD1033" s="127"/>
      <c r="AE1033" s="127"/>
      <c r="AF1033" s="127"/>
      <c r="AG1033" s="127"/>
      <c r="AH1033" s="124"/>
      <c r="AI1033" s="127"/>
      <c r="AJ1033" s="127"/>
      <c r="AK1033" s="126"/>
      <c r="AL1033" s="122"/>
      <c r="AM1033" s="122"/>
      <c r="AN1033" s="122"/>
      <c r="AO1033" s="122"/>
      <c r="AP1033" s="122"/>
      <c r="AQ1033" s="124"/>
    </row>
    <row r="1034" spans="1:43" ht="15.75" customHeight="1">
      <c r="A1034" s="122"/>
      <c r="B1034" s="122"/>
      <c r="C1034" s="122"/>
      <c r="D1034" s="122"/>
      <c r="E1034" s="122"/>
      <c r="F1034" s="122"/>
      <c r="G1034" s="122"/>
      <c r="H1034" s="122"/>
      <c r="I1034" s="122"/>
      <c r="J1034" s="122"/>
      <c r="K1034" s="122"/>
      <c r="L1034" s="122"/>
      <c r="M1034" s="123"/>
      <c r="N1034" s="123"/>
      <c r="O1034" s="122"/>
      <c r="P1034" s="124"/>
      <c r="Q1034" s="122"/>
      <c r="R1034" s="122"/>
      <c r="S1034" s="122"/>
      <c r="T1034" s="122"/>
      <c r="U1034" s="122"/>
      <c r="V1034" s="124"/>
      <c r="W1034" s="125"/>
      <c r="X1034" s="122"/>
      <c r="Y1034" s="122"/>
      <c r="Z1034" s="122"/>
      <c r="AA1034" s="126"/>
      <c r="AB1034" s="122"/>
      <c r="AC1034" s="122"/>
      <c r="AD1034" s="127"/>
      <c r="AE1034" s="127"/>
      <c r="AF1034" s="127"/>
      <c r="AG1034" s="127"/>
      <c r="AH1034" s="124"/>
      <c r="AI1034" s="127"/>
      <c r="AJ1034" s="127"/>
      <c r="AK1034" s="126"/>
      <c r="AL1034" s="122"/>
      <c r="AM1034" s="122"/>
      <c r="AN1034" s="122"/>
      <c r="AO1034" s="122"/>
      <c r="AP1034" s="122"/>
      <c r="AQ1034" s="124"/>
    </row>
    <row r="1035" spans="1:43" ht="15.75" customHeight="1">
      <c r="A1035" s="122"/>
      <c r="B1035" s="122"/>
      <c r="C1035" s="122"/>
      <c r="D1035" s="122"/>
      <c r="E1035" s="122"/>
      <c r="F1035" s="122"/>
      <c r="G1035" s="122"/>
      <c r="H1035" s="122"/>
      <c r="I1035" s="122"/>
      <c r="J1035" s="122"/>
      <c r="K1035" s="122"/>
      <c r="L1035" s="122"/>
      <c r="M1035" s="123"/>
      <c r="N1035" s="123"/>
      <c r="O1035" s="122"/>
      <c r="P1035" s="124"/>
      <c r="Q1035" s="122"/>
      <c r="R1035" s="122"/>
      <c r="S1035" s="122"/>
      <c r="T1035" s="122"/>
      <c r="U1035" s="122"/>
      <c r="V1035" s="124"/>
      <c r="W1035" s="125"/>
      <c r="X1035" s="122"/>
      <c r="Y1035" s="122"/>
      <c r="Z1035" s="122"/>
      <c r="AA1035" s="126"/>
      <c r="AB1035" s="122"/>
      <c r="AC1035" s="122"/>
      <c r="AD1035" s="127"/>
      <c r="AE1035" s="127"/>
      <c r="AF1035" s="127"/>
      <c r="AG1035" s="127"/>
      <c r="AH1035" s="124"/>
      <c r="AI1035" s="127"/>
      <c r="AJ1035" s="127"/>
      <c r="AK1035" s="126"/>
      <c r="AL1035" s="122"/>
      <c r="AM1035" s="122"/>
      <c r="AN1035" s="122"/>
      <c r="AO1035" s="122"/>
      <c r="AP1035" s="122"/>
      <c r="AQ1035" s="124"/>
    </row>
    <row r="1036" spans="1:43" ht="15.75" customHeight="1">
      <c r="A1036" s="122"/>
      <c r="B1036" s="122"/>
      <c r="C1036" s="122"/>
      <c r="D1036" s="122"/>
      <c r="E1036" s="122"/>
      <c r="F1036" s="122"/>
      <c r="G1036" s="122"/>
      <c r="H1036" s="122"/>
      <c r="I1036" s="122"/>
      <c r="J1036" s="122"/>
      <c r="K1036" s="122"/>
      <c r="L1036" s="122"/>
      <c r="M1036" s="123"/>
      <c r="N1036" s="123"/>
      <c r="O1036" s="122"/>
      <c r="P1036" s="124"/>
      <c r="Q1036" s="122"/>
      <c r="R1036" s="122"/>
      <c r="S1036" s="122"/>
      <c r="T1036" s="122"/>
      <c r="U1036" s="122"/>
      <c r="V1036" s="124"/>
      <c r="W1036" s="125"/>
      <c r="X1036" s="122"/>
      <c r="Y1036" s="122"/>
      <c r="Z1036" s="122"/>
      <c r="AA1036" s="126"/>
      <c r="AB1036" s="122"/>
      <c r="AC1036" s="122"/>
      <c r="AD1036" s="127"/>
      <c r="AE1036" s="127"/>
      <c r="AF1036" s="127"/>
      <c r="AG1036" s="127"/>
      <c r="AH1036" s="124"/>
      <c r="AI1036" s="127"/>
      <c r="AJ1036" s="127"/>
      <c r="AK1036" s="126"/>
      <c r="AL1036" s="122"/>
      <c r="AM1036" s="122"/>
      <c r="AN1036" s="122"/>
      <c r="AO1036" s="122"/>
      <c r="AP1036" s="122"/>
      <c r="AQ1036" s="124"/>
    </row>
    <row r="1037" spans="1:43" ht="15.75" customHeight="1">
      <c r="A1037" s="122"/>
      <c r="B1037" s="122"/>
      <c r="C1037" s="122"/>
      <c r="D1037" s="122"/>
      <c r="E1037" s="122"/>
      <c r="F1037" s="122"/>
      <c r="G1037" s="122"/>
      <c r="H1037" s="122"/>
      <c r="I1037" s="122"/>
      <c r="J1037" s="122"/>
      <c r="K1037" s="122"/>
      <c r="L1037" s="122"/>
      <c r="M1037" s="123"/>
      <c r="N1037" s="123"/>
      <c r="O1037" s="122"/>
      <c r="P1037" s="124"/>
      <c r="Q1037" s="122"/>
      <c r="R1037" s="122"/>
      <c r="S1037" s="122"/>
      <c r="T1037" s="122"/>
      <c r="U1037" s="122"/>
      <c r="V1037" s="124"/>
      <c r="W1037" s="125"/>
      <c r="X1037" s="122"/>
      <c r="Y1037" s="122"/>
      <c r="Z1037" s="122"/>
      <c r="AA1037" s="126"/>
      <c r="AB1037" s="122"/>
      <c r="AC1037" s="122"/>
      <c r="AD1037" s="127"/>
      <c r="AE1037" s="127"/>
      <c r="AF1037" s="127"/>
      <c r="AG1037" s="127"/>
      <c r="AH1037" s="124"/>
      <c r="AI1037" s="127"/>
      <c r="AJ1037" s="127"/>
      <c r="AK1037" s="126"/>
      <c r="AL1037" s="122"/>
      <c r="AM1037" s="122"/>
      <c r="AN1037" s="122"/>
      <c r="AO1037" s="122"/>
      <c r="AP1037" s="122"/>
      <c r="AQ1037" s="124"/>
    </row>
    <row r="1038" spans="1:43" ht="15.75" customHeight="1">
      <c r="A1038" s="122"/>
      <c r="B1038" s="122"/>
      <c r="C1038" s="122"/>
      <c r="D1038" s="122"/>
      <c r="E1038" s="122"/>
      <c r="F1038" s="122"/>
      <c r="G1038" s="122"/>
      <c r="H1038" s="122"/>
      <c r="I1038" s="122"/>
      <c r="J1038" s="122"/>
      <c r="K1038" s="122"/>
      <c r="L1038" s="122"/>
      <c r="M1038" s="123"/>
      <c r="N1038" s="123"/>
      <c r="O1038" s="122"/>
      <c r="P1038" s="124"/>
      <c r="Q1038" s="122"/>
      <c r="R1038" s="122"/>
      <c r="S1038" s="122"/>
      <c r="T1038" s="122"/>
      <c r="U1038" s="122"/>
      <c r="V1038" s="124"/>
      <c r="W1038" s="125"/>
      <c r="X1038" s="122"/>
      <c r="Y1038" s="122"/>
      <c r="Z1038" s="122"/>
      <c r="AA1038" s="126"/>
      <c r="AB1038" s="122"/>
      <c r="AC1038" s="122"/>
      <c r="AD1038" s="127"/>
      <c r="AE1038" s="127"/>
      <c r="AF1038" s="127"/>
      <c r="AG1038" s="127"/>
      <c r="AH1038" s="124"/>
      <c r="AI1038" s="127"/>
      <c r="AJ1038" s="127"/>
      <c r="AK1038" s="126"/>
      <c r="AL1038" s="122"/>
      <c r="AM1038" s="122"/>
      <c r="AN1038" s="122"/>
      <c r="AO1038" s="122"/>
      <c r="AP1038" s="122"/>
      <c r="AQ1038" s="124"/>
    </row>
    <row r="1039" spans="1:43" ht="15.75" customHeight="1">
      <c r="A1039" s="122"/>
      <c r="B1039" s="122"/>
      <c r="C1039" s="122"/>
      <c r="D1039" s="122"/>
      <c r="E1039" s="122"/>
      <c r="F1039" s="122"/>
      <c r="G1039" s="122"/>
      <c r="H1039" s="122"/>
      <c r="I1039" s="122"/>
      <c r="J1039" s="122"/>
      <c r="K1039" s="122"/>
      <c r="L1039" s="122"/>
      <c r="M1039" s="123"/>
      <c r="N1039" s="123"/>
      <c r="O1039" s="122"/>
      <c r="P1039" s="124"/>
      <c r="Q1039" s="122"/>
      <c r="R1039" s="122"/>
      <c r="S1039" s="122"/>
      <c r="T1039" s="122"/>
      <c r="U1039" s="122"/>
      <c r="V1039" s="124"/>
      <c r="W1039" s="125"/>
      <c r="X1039" s="122"/>
      <c r="Y1039" s="122"/>
      <c r="Z1039" s="122"/>
      <c r="AA1039" s="126"/>
      <c r="AB1039" s="122"/>
      <c r="AC1039" s="122"/>
      <c r="AD1039" s="127"/>
      <c r="AE1039" s="127"/>
      <c r="AF1039" s="127"/>
      <c r="AG1039" s="127"/>
      <c r="AH1039" s="124"/>
      <c r="AI1039" s="127"/>
      <c r="AJ1039" s="127"/>
      <c r="AK1039" s="126"/>
      <c r="AL1039" s="122"/>
      <c r="AM1039" s="122"/>
      <c r="AN1039" s="122"/>
      <c r="AO1039" s="122"/>
      <c r="AP1039" s="122"/>
      <c r="AQ1039" s="124"/>
    </row>
    <row r="1040" spans="1:43" ht="15.75" customHeight="1">
      <c r="A1040" s="122"/>
      <c r="B1040" s="122"/>
      <c r="C1040" s="122"/>
      <c r="D1040" s="122"/>
      <c r="E1040" s="122"/>
      <c r="F1040" s="122"/>
      <c r="G1040" s="122"/>
      <c r="H1040" s="122"/>
      <c r="I1040" s="122"/>
      <c r="J1040" s="122"/>
      <c r="K1040" s="122"/>
      <c r="L1040" s="122"/>
      <c r="M1040" s="123"/>
      <c r="N1040" s="123"/>
      <c r="O1040" s="122"/>
      <c r="P1040" s="124"/>
      <c r="Q1040" s="122"/>
      <c r="R1040" s="122"/>
      <c r="S1040" s="122"/>
      <c r="T1040" s="122"/>
      <c r="U1040" s="122"/>
      <c r="V1040" s="124"/>
      <c r="W1040" s="125"/>
      <c r="X1040" s="122"/>
      <c r="Y1040" s="122"/>
      <c r="Z1040" s="122"/>
      <c r="AA1040" s="126"/>
      <c r="AB1040" s="122"/>
      <c r="AC1040" s="122"/>
      <c r="AD1040" s="127"/>
      <c r="AE1040" s="127"/>
      <c r="AF1040" s="127"/>
      <c r="AG1040" s="127"/>
      <c r="AH1040" s="124"/>
      <c r="AI1040" s="127"/>
      <c r="AJ1040" s="127"/>
      <c r="AK1040" s="126"/>
      <c r="AL1040" s="122"/>
      <c r="AM1040" s="122"/>
      <c r="AN1040" s="122"/>
      <c r="AO1040" s="122"/>
      <c r="AP1040" s="122"/>
      <c r="AQ1040" s="124"/>
    </row>
    <row r="1041" spans="1:43" ht="15.75" customHeight="1">
      <c r="A1041" s="122"/>
      <c r="B1041" s="122"/>
      <c r="C1041" s="122"/>
      <c r="D1041" s="122"/>
      <c r="E1041" s="122"/>
      <c r="F1041" s="122"/>
      <c r="G1041" s="122"/>
      <c r="H1041" s="122"/>
      <c r="I1041" s="122"/>
      <c r="J1041" s="122"/>
      <c r="K1041" s="122"/>
      <c r="L1041" s="122"/>
      <c r="M1041" s="123"/>
      <c r="N1041" s="123"/>
      <c r="O1041" s="122"/>
      <c r="P1041" s="124"/>
      <c r="Q1041" s="122"/>
      <c r="R1041" s="122"/>
      <c r="S1041" s="122"/>
      <c r="T1041" s="122"/>
      <c r="U1041" s="122"/>
      <c r="V1041" s="124"/>
      <c r="W1041" s="125"/>
      <c r="X1041" s="122"/>
      <c r="Y1041" s="122"/>
      <c r="Z1041" s="122"/>
      <c r="AA1041" s="126"/>
      <c r="AB1041" s="122"/>
      <c r="AC1041" s="122"/>
      <c r="AD1041" s="127"/>
      <c r="AE1041" s="127"/>
      <c r="AF1041" s="127"/>
      <c r="AG1041" s="127"/>
      <c r="AH1041" s="124"/>
      <c r="AI1041" s="127"/>
      <c r="AJ1041" s="127"/>
      <c r="AK1041" s="126"/>
      <c r="AL1041" s="122"/>
      <c r="AM1041" s="122"/>
      <c r="AN1041" s="122"/>
      <c r="AO1041" s="122"/>
      <c r="AP1041" s="122"/>
      <c r="AQ1041" s="124"/>
    </row>
    <row r="1042" spans="1:43" ht="15.75" customHeight="1">
      <c r="A1042" s="122"/>
      <c r="B1042" s="122"/>
      <c r="C1042" s="122"/>
      <c r="D1042" s="122"/>
      <c r="E1042" s="122"/>
      <c r="F1042" s="122"/>
      <c r="G1042" s="122"/>
      <c r="H1042" s="122"/>
      <c r="I1042" s="122"/>
      <c r="J1042" s="122"/>
      <c r="K1042" s="122"/>
      <c r="L1042" s="122"/>
      <c r="M1042" s="123"/>
      <c r="N1042" s="123"/>
      <c r="O1042" s="122"/>
      <c r="P1042" s="124"/>
      <c r="Q1042" s="122"/>
      <c r="R1042" s="122"/>
      <c r="S1042" s="122"/>
      <c r="T1042" s="122"/>
      <c r="U1042" s="122"/>
      <c r="V1042" s="124"/>
      <c r="W1042" s="125"/>
      <c r="X1042" s="122"/>
      <c r="Y1042" s="122"/>
      <c r="Z1042" s="122"/>
      <c r="AA1042" s="126"/>
      <c r="AB1042" s="122"/>
      <c r="AC1042" s="122"/>
      <c r="AD1042" s="127"/>
      <c r="AE1042" s="127"/>
      <c r="AF1042" s="127"/>
      <c r="AG1042" s="127"/>
      <c r="AH1042" s="124"/>
      <c r="AI1042" s="127"/>
      <c r="AJ1042" s="127"/>
      <c r="AK1042" s="126"/>
      <c r="AL1042" s="122"/>
      <c r="AM1042" s="122"/>
      <c r="AN1042" s="122"/>
      <c r="AO1042" s="122"/>
      <c r="AP1042" s="122"/>
      <c r="AQ1042" s="124"/>
    </row>
    <row r="1043" spans="1:43" ht="15.75" customHeight="1">
      <c r="A1043" s="122"/>
      <c r="B1043" s="122"/>
      <c r="C1043" s="122"/>
      <c r="D1043" s="122"/>
      <c r="E1043" s="122"/>
      <c r="F1043" s="122"/>
      <c r="G1043" s="122"/>
      <c r="H1043" s="122"/>
      <c r="I1043" s="122"/>
      <c r="J1043" s="122"/>
      <c r="K1043" s="122"/>
      <c r="L1043" s="122"/>
      <c r="M1043" s="123"/>
      <c r="N1043" s="123"/>
      <c r="O1043" s="122"/>
      <c r="P1043" s="124"/>
      <c r="Q1043" s="122"/>
      <c r="R1043" s="122"/>
      <c r="S1043" s="122"/>
      <c r="T1043" s="122"/>
      <c r="U1043" s="122"/>
      <c r="V1043" s="124"/>
      <c r="W1043" s="125"/>
      <c r="X1043" s="122"/>
      <c r="Y1043" s="122"/>
      <c r="Z1043" s="122"/>
      <c r="AA1043" s="126"/>
      <c r="AB1043" s="122"/>
      <c r="AC1043" s="122"/>
      <c r="AD1043" s="127"/>
      <c r="AE1043" s="127"/>
      <c r="AF1043" s="127"/>
      <c r="AG1043" s="127"/>
      <c r="AH1043" s="124"/>
      <c r="AI1043" s="127"/>
      <c r="AJ1043" s="127"/>
      <c r="AK1043" s="126"/>
      <c r="AL1043" s="122"/>
      <c r="AM1043" s="122"/>
      <c r="AN1043" s="122"/>
      <c r="AO1043" s="122"/>
      <c r="AP1043" s="122"/>
      <c r="AQ1043" s="124"/>
    </row>
    <row r="1044" spans="1:43" ht="15.75" customHeight="1">
      <c r="A1044" s="122"/>
      <c r="B1044" s="122"/>
      <c r="C1044" s="122"/>
      <c r="D1044" s="122"/>
      <c r="E1044" s="122"/>
      <c r="F1044" s="122"/>
      <c r="G1044" s="122"/>
      <c r="H1044" s="122"/>
      <c r="I1044" s="122"/>
      <c r="J1044" s="122"/>
      <c r="K1044" s="122"/>
      <c r="L1044" s="122"/>
      <c r="M1044" s="123"/>
      <c r="N1044" s="123"/>
      <c r="O1044" s="122"/>
      <c r="P1044" s="124"/>
      <c r="Q1044" s="122"/>
      <c r="R1044" s="122"/>
      <c r="S1044" s="122"/>
      <c r="T1044" s="122"/>
      <c r="U1044" s="122"/>
      <c r="V1044" s="124"/>
      <c r="W1044" s="125"/>
      <c r="X1044" s="122"/>
      <c r="Y1044" s="122"/>
      <c r="Z1044" s="122"/>
      <c r="AA1044" s="126"/>
      <c r="AB1044" s="122"/>
      <c r="AC1044" s="122"/>
      <c r="AD1044" s="127"/>
      <c r="AE1044" s="127"/>
      <c r="AF1044" s="127"/>
      <c r="AG1044" s="127"/>
      <c r="AH1044" s="124"/>
      <c r="AI1044" s="127"/>
      <c r="AJ1044" s="127"/>
      <c r="AK1044" s="126"/>
      <c r="AL1044" s="122"/>
      <c r="AM1044" s="122"/>
      <c r="AN1044" s="122"/>
      <c r="AO1044" s="122"/>
      <c r="AP1044" s="122"/>
      <c r="AQ1044" s="124"/>
    </row>
    <row r="1045" spans="1:43" ht="15.75" customHeight="1">
      <c r="A1045" s="122"/>
      <c r="B1045" s="122"/>
      <c r="C1045" s="122"/>
      <c r="D1045" s="122"/>
      <c r="E1045" s="122"/>
      <c r="F1045" s="122"/>
      <c r="G1045" s="122"/>
      <c r="H1045" s="122"/>
      <c r="I1045" s="122"/>
      <c r="J1045" s="122"/>
      <c r="K1045" s="122"/>
      <c r="L1045" s="122"/>
      <c r="M1045" s="123"/>
      <c r="N1045" s="123"/>
      <c r="O1045" s="122"/>
      <c r="P1045" s="124"/>
      <c r="Q1045" s="122"/>
      <c r="R1045" s="122"/>
      <c r="S1045" s="122"/>
      <c r="T1045" s="122"/>
      <c r="U1045" s="122"/>
      <c r="V1045" s="124"/>
      <c r="W1045" s="125"/>
      <c r="X1045" s="122"/>
      <c r="Y1045" s="122"/>
      <c r="Z1045" s="122"/>
      <c r="AA1045" s="126"/>
      <c r="AB1045" s="122"/>
      <c r="AC1045" s="122"/>
      <c r="AD1045" s="127"/>
      <c r="AE1045" s="127"/>
      <c r="AF1045" s="127"/>
      <c r="AG1045" s="127"/>
      <c r="AH1045" s="124"/>
      <c r="AI1045" s="127"/>
      <c r="AJ1045" s="127"/>
      <c r="AK1045" s="126"/>
      <c r="AL1045" s="122"/>
      <c r="AM1045" s="122"/>
      <c r="AN1045" s="122"/>
      <c r="AO1045" s="122"/>
      <c r="AP1045" s="122"/>
      <c r="AQ1045" s="124"/>
    </row>
    <row r="1046" spans="1:43" ht="15.75" customHeight="1">
      <c r="A1046" s="122"/>
      <c r="B1046" s="122"/>
      <c r="C1046" s="122"/>
      <c r="D1046" s="122"/>
      <c r="E1046" s="122"/>
      <c r="F1046" s="122"/>
      <c r="G1046" s="122"/>
      <c r="H1046" s="122"/>
      <c r="I1046" s="122"/>
      <c r="J1046" s="122"/>
      <c r="K1046" s="122"/>
      <c r="L1046" s="122"/>
      <c r="M1046" s="123"/>
      <c r="N1046" s="123"/>
      <c r="O1046" s="122"/>
      <c r="P1046" s="124"/>
      <c r="Q1046" s="122"/>
      <c r="R1046" s="122"/>
      <c r="S1046" s="122"/>
      <c r="T1046" s="122"/>
      <c r="U1046" s="122"/>
      <c r="V1046" s="124"/>
      <c r="W1046" s="125"/>
      <c r="X1046" s="122"/>
      <c r="Y1046" s="122"/>
      <c r="Z1046" s="122"/>
      <c r="AA1046" s="126"/>
      <c r="AB1046" s="122"/>
      <c r="AC1046" s="122"/>
      <c r="AD1046" s="127"/>
      <c r="AE1046" s="127"/>
      <c r="AF1046" s="127"/>
      <c r="AG1046" s="127"/>
      <c r="AH1046" s="124"/>
      <c r="AI1046" s="127"/>
      <c r="AJ1046" s="127"/>
      <c r="AK1046" s="126"/>
      <c r="AL1046" s="122"/>
      <c r="AM1046" s="122"/>
      <c r="AN1046" s="122"/>
      <c r="AO1046" s="122"/>
      <c r="AP1046" s="122"/>
      <c r="AQ1046" s="124"/>
    </row>
    <row r="1047" spans="1:43" ht="15.75" customHeight="1">
      <c r="A1047" s="122"/>
      <c r="B1047" s="122"/>
      <c r="C1047" s="122"/>
      <c r="D1047" s="122"/>
      <c r="E1047" s="122"/>
      <c r="F1047" s="122"/>
      <c r="G1047" s="122"/>
      <c r="H1047" s="122"/>
      <c r="I1047" s="122"/>
      <c r="J1047" s="122"/>
      <c r="K1047" s="122"/>
      <c r="L1047" s="122"/>
      <c r="M1047" s="123"/>
      <c r="N1047" s="123"/>
      <c r="O1047" s="122"/>
      <c r="P1047" s="124"/>
      <c r="Q1047" s="122"/>
      <c r="R1047" s="122"/>
      <c r="S1047" s="122"/>
      <c r="T1047" s="122"/>
      <c r="U1047" s="122"/>
      <c r="V1047" s="124"/>
      <c r="W1047" s="125"/>
      <c r="X1047" s="122"/>
      <c r="Y1047" s="122"/>
      <c r="Z1047" s="122"/>
      <c r="AA1047" s="126"/>
      <c r="AB1047" s="122"/>
      <c r="AC1047" s="122"/>
      <c r="AD1047" s="127"/>
      <c r="AE1047" s="127"/>
      <c r="AF1047" s="127"/>
      <c r="AG1047" s="127"/>
      <c r="AH1047" s="124"/>
      <c r="AI1047" s="127"/>
      <c r="AJ1047" s="127"/>
      <c r="AK1047" s="126"/>
      <c r="AL1047" s="122"/>
      <c r="AM1047" s="122"/>
      <c r="AN1047" s="122"/>
      <c r="AO1047" s="122"/>
      <c r="AP1047" s="122"/>
      <c r="AQ1047" s="124"/>
    </row>
    <row r="1048" spans="1:43" ht="15.75" customHeight="1">
      <c r="A1048" s="122"/>
      <c r="B1048" s="122"/>
      <c r="C1048" s="122"/>
      <c r="D1048" s="122"/>
      <c r="E1048" s="122"/>
      <c r="F1048" s="122"/>
      <c r="G1048" s="122"/>
      <c r="H1048" s="122"/>
      <c r="I1048" s="122"/>
      <c r="J1048" s="122"/>
      <c r="K1048" s="122"/>
      <c r="L1048" s="122"/>
      <c r="M1048" s="123"/>
      <c r="N1048" s="123"/>
      <c r="O1048" s="122"/>
      <c r="P1048" s="124"/>
      <c r="Q1048" s="122"/>
      <c r="R1048" s="122"/>
      <c r="S1048" s="122"/>
      <c r="T1048" s="122"/>
      <c r="U1048" s="122"/>
      <c r="V1048" s="124"/>
      <c r="W1048" s="125"/>
      <c r="X1048" s="122"/>
      <c r="Y1048" s="122"/>
      <c r="Z1048" s="122"/>
      <c r="AA1048" s="126"/>
      <c r="AB1048" s="122"/>
      <c r="AC1048" s="122"/>
      <c r="AD1048" s="127"/>
      <c r="AE1048" s="127"/>
      <c r="AF1048" s="127"/>
      <c r="AG1048" s="127"/>
      <c r="AH1048" s="124"/>
      <c r="AI1048" s="127"/>
      <c r="AJ1048" s="127"/>
      <c r="AK1048" s="126"/>
      <c r="AL1048" s="122"/>
      <c r="AM1048" s="122"/>
      <c r="AN1048" s="122"/>
      <c r="AO1048" s="122"/>
      <c r="AP1048" s="122"/>
      <c r="AQ1048" s="124"/>
    </row>
    <row r="1049" spans="1:43" ht="15.75" customHeight="1">
      <c r="A1049" s="122"/>
      <c r="B1049" s="122"/>
      <c r="C1049" s="122"/>
      <c r="D1049" s="122"/>
      <c r="E1049" s="122"/>
      <c r="F1049" s="122"/>
      <c r="G1049" s="122"/>
      <c r="H1049" s="122"/>
      <c r="I1049" s="122"/>
      <c r="J1049" s="122"/>
      <c r="K1049" s="122"/>
      <c r="L1049" s="122"/>
      <c r="M1049" s="123"/>
      <c r="N1049" s="123"/>
      <c r="O1049" s="122"/>
      <c r="P1049" s="124"/>
      <c r="Q1049" s="122"/>
      <c r="R1049" s="122"/>
      <c r="S1049" s="122"/>
      <c r="T1049" s="122"/>
      <c r="U1049" s="122"/>
      <c r="V1049" s="124"/>
      <c r="W1049" s="125"/>
      <c r="X1049" s="122"/>
      <c r="Y1049" s="122"/>
      <c r="Z1049" s="122"/>
      <c r="AA1049" s="126"/>
      <c r="AB1049" s="122"/>
      <c r="AC1049" s="122"/>
      <c r="AD1049" s="127"/>
      <c r="AE1049" s="127"/>
      <c r="AF1049" s="127"/>
      <c r="AG1049" s="127"/>
      <c r="AH1049" s="124"/>
      <c r="AI1049" s="127"/>
      <c r="AJ1049" s="127"/>
      <c r="AK1049" s="126"/>
      <c r="AL1049" s="122"/>
      <c r="AM1049" s="122"/>
      <c r="AN1049" s="122"/>
      <c r="AO1049" s="122"/>
      <c r="AP1049" s="122"/>
      <c r="AQ1049" s="124"/>
    </row>
    <row r="1050" spans="1:43" ht="15.75" customHeight="1">
      <c r="A1050" s="122"/>
      <c r="B1050" s="122"/>
      <c r="C1050" s="122"/>
      <c r="D1050" s="122"/>
      <c r="E1050" s="122"/>
      <c r="F1050" s="122"/>
      <c r="G1050" s="122"/>
      <c r="H1050" s="122"/>
      <c r="I1050" s="122"/>
      <c r="J1050" s="122"/>
      <c r="K1050" s="122"/>
      <c r="L1050" s="122"/>
      <c r="M1050" s="123"/>
      <c r="N1050" s="123"/>
      <c r="O1050" s="122"/>
      <c r="P1050" s="124"/>
      <c r="Q1050" s="122"/>
      <c r="R1050" s="122"/>
      <c r="S1050" s="122"/>
      <c r="T1050" s="122"/>
      <c r="U1050" s="122"/>
      <c r="V1050" s="124"/>
      <c r="W1050" s="125"/>
      <c r="X1050" s="122"/>
      <c r="Y1050" s="122"/>
      <c r="Z1050" s="122"/>
      <c r="AA1050" s="126"/>
      <c r="AB1050" s="122"/>
      <c r="AC1050" s="122"/>
      <c r="AD1050" s="127"/>
      <c r="AE1050" s="127"/>
      <c r="AF1050" s="127"/>
      <c r="AG1050" s="127"/>
      <c r="AH1050" s="124"/>
      <c r="AI1050" s="127"/>
      <c r="AJ1050" s="127"/>
      <c r="AK1050" s="126"/>
      <c r="AL1050" s="122"/>
      <c r="AM1050" s="122"/>
      <c r="AN1050" s="122"/>
      <c r="AO1050" s="122"/>
      <c r="AP1050" s="122"/>
      <c r="AQ1050" s="124"/>
    </row>
    <row r="1051" spans="1:43" ht="15.75" customHeight="1">
      <c r="A1051" s="122"/>
      <c r="B1051" s="122"/>
      <c r="C1051" s="122"/>
      <c r="D1051" s="122"/>
      <c r="E1051" s="122"/>
      <c r="F1051" s="122"/>
      <c r="G1051" s="122"/>
      <c r="H1051" s="122"/>
      <c r="I1051" s="122"/>
      <c r="J1051" s="122"/>
      <c r="K1051" s="122"/>
      <c r="L1051" s="122"/>
      <c r="M1051" s="123"/>
      <c r="N1051" s="123"/>
      <c r="O1051" s="122"/>
      <c r="P1051" s="124"/>
      <c r="Q1051" s="122"/>
      <c r="R1051" s="122"/>
      <c r="S1051" s="122"/>
      <c r="T1051" s="122"/>
      <c r="U1051" s="122"/>
      <c r="V1051" s="124"/>
      <c r="W1051" s="125"/>
      <c r="X1051" s="122"/>
      <c r="Y1051" s="122"/>
      <c r="Z1051" s="122"/>
      <c r="AA1051" s="126"/>
      <c r="AB1051" s="122"/>
      <c r="AC1051" s="122"/>
      <c r="AD1051" s="127"/>
      <c r="AE1051" s="127"/>
      <c r="AF1051" s="127"/>
      <c r="AG1051" s="127"/>
      <c r="AH1051" s="124"/>
      <c r="AI1051" s="127"/>
      <c r="AJ1051" s="127"/>
      <c r="AK1051" s="126"/>
      <c r="AL1051" s="122"/>
      <c r="AM1051" s="122"/>
      <c r="AN1051" s="122"/>
      <c r="AO1051" s="122"/>
      <c r="AP1051" s="122"/>
      <c r="AQ1051" s="124"/>
    </row>
    <row r="1052" spans="1:43" ht="15.75" customHeight="1">
      <c r="A1052" s="122"/>
      <c r="B1052" s="122"/>
      <c r="C1052" s="122"/>
      <c r="D1052" s="122"/>
      <c r="E1052" s="122"/>
      <c r="F1052" s="122"/>
      <c r="G1052" s="122"/>
      <c r="H1052" s="122"/>
      <c r="I1052" s="122"/>
      <c r="J1052" s="122"/>
      <c r="K1052" s="122"/>
      <c r="L1052" s="122"/>
      <c r="M1052" s="123"/>
      <c r="N1052" s="123"/>
      <c r="O1052" s="122"/>
      <c r="P1052" s="124"/>
      <c r="Q1052" s="122"/>
      <c r="R1052" s="122"/>
      <c r="S1052" s="122"/>
      <c r="T1052" s="122"/>
      <c r="U1052" s="122"/>
      <c r="V1052" s="124"/>
      <c r="W1052" s="125"/>
      <c r="X1052" s="122"/>
      <c r="Y1052" s="122"/>
      <c r="Z1052" s="122"/>
      <c r="AA1052" s="126"/>
      <c r="AB1052" s="122"/>
      <c r="AC1052" s="122"/>
      <c r="AD1052" s="127"/>
      <c r="AE1052" s="127"/>
      <c r="AF1052" s="127"/>
      <c r="AG1052" s="127"/>
      <c r="AH1052" s="124"/>
      <c r="AI1052" s="127"/>
      <c r="AJ1052" s="127"/>
      <c r="AK1052" s="126"/>
      <c r="AL1052" s="122"/>
      <c r="AM1052" s="122"/>
      <c r="AN1052" s="122"/>
      <c r="AO1052" s="122"/>
      <c r="AP1052" s="122"/>
      <c r="AQ1052" s="124"/>
    </row>
    <row r="1053" spans="1:43" ht="15.75" customHeight="1">
      <c r="A1053" s="122"/>
      <c r="B1053" s="122"/>
      <c r="C1053" s="122"/>
      <c r="D1053" s="122"/>
      <c r="E1053" s="122"/>
      <c r="F1053" s="122"/>
      <c r="G1053" s="122"/>
      <c r="H1053" s="122"/>
      <c r="I1053" s="122"/>
      <c r="J1053" s="122"/>
      <c r="K1053" s="122"/>
      <c r="L1053" s="122"/>
      <c r="M1053" s="123"/>
      <c r="N1053" s="123"/>
      <c r="O1053" s="122"/>
      <c r="P1053" s="124"/>
      <c r="Q1053" s="122"/>
      <c r="R1053" s="122"/>
      <c r="S1053" s="122"/>
      <c r="T1053" s="122"/>
      <c r="U1053" s="122"/>
      <c r="V1053" s="124"/>
      <c r="W1053" s="125"/>
      <c r="X1053" s="122"/>
      <c r="Y1053" s="122"/>
      <c r="Z1053" s="122"/>
      <c r="AA1053" s="126"/>
      <c r="AB1053" s="122"/>
      <c r="AC1053" s="122"/>
      <c r="AD1053" s="127"/>
      <c r="AE1053" s="127"/>
      <c r="AF1053" s="127"/>
      <c r="AG1053" s="127"/>
      <c r="AH1053" s="124"/>
      <c r="AI1053" s="127"/>
      <c r="AJ1053" s="127"/>
      <c r="AK1053" s="126"/>
      <c r="AL1053" s="122"/>
      <c r="AM1053" s="122"/>
      <c r="AN1053" s="122"/>
      <c r="AO1053" s="122"/>
      <c r="AP1053" s="122"/>
      <c r="AQ1053" s="124"/>
    </row>
    <row r="1054" spans="1:43" ht="15.75" customHeight="1">
      <c r="A1054" s="122"/>
      <c r="B1054" s="122"/>
      <c r="C1054" s="122"/>
      <c r="D1054" s="122"/>
      <c r="E1054" s="122"/>
      <c r="F1054" s="122"/>
      <c r="G1054" s="122"/>
      <c r="H1054" s="122"/>
      <c r="I1054" s="122"/>
      <c r="J1054" s="122"/>
      <c r="K1054" s="122"/>
      <c r="L1054" s="122"/>
      <c r="M1054" s="123"/>
      <c r="N1054" s="123"/>
      <c r="O1054" s="122"/>
      <c r="P1054" s="124"/>
      <c r="Q1054" s="122"/>
      <c r="R1054" s="122"/>
      <c r="S1054" s="122"/>
      <c r="T1054" s="122"/>
      <c r="U1054" s="122"/>
      <c r="V1054" s="124"/>
      <c r="W1054" s="125"/>
      <c r="X1054" s="122"/>
      <c r="Y1054" s="122"/>
      <c r="Z1054" s="122"/>
      <c r="AA1054" s="126"/>
      <c r="AB1054" s="122"/>
      <c r="AC1054" s="122"/>
      <c r="AD1054" s="127"/>
      <c r="AE1054" s="127"/>
      <c r="AF1054" s="127"/>
      <c r="AG1054" s="127"/>
      <c r="AH1054" s="124"/>
      <c r="AI1054" s="127"/>
      <c r="AJ1054" s="127"/>
      <c r="AK1054" s="126"/>
      <c r="AL1054" s="122"/>
      <c r="AM1054" s="122"/>
      <c r="AN1054" s="122"/>
      <c r="AO1054" s="122"/>
      <c r="AP1054" s="122"/>
      <c r="AQ1054" s="124"/>
    </row>
    <row r="1055" spans="1:43" ht="15.75" customHeight="1">
      <c r="A1055" s="122"/>
      <c r="B1055" s="122"/>
      <c r="C1055" s="122"/>
      <c r="D1055" s="122"/>
      <c r="E1055" s="122"/>
      <c r="F1055" s="122"/>
      <c r="G1055" s="122"/>
      <c r="H1055" s="122"/>
      <c r="I1055" s="122"/>
      <c r="J1055" s="122"/>
      <c r="K1055" s="122"/>
      <c r="L1055" s="122"/>
      <c r="M1055" s="123"/>
      <c r="N1055" s="123"/>
      <c r="O1055" s="122"/>
      <c r="P1055" s="124"/>
      <c r="Q1055" s="122"/>
      <c r="R1055" s="122"/>
      <c r="S1055" s="122"/>
      <c r="T1055" s="122"/>
      <c r="U1055" s="122"/>
      <c r="V1055" s="124"/>
      <c r="W1055" s="125"/>
      <c r="X1055" s="122"/>
      <c r="Y1055" s="122"/>
      <c r="Z1055" s="122"/>
      <c r="AA1055" s="126"/>
      <c r="AB1055" s="122"/>
      <c r="AC1055" s="122"/>
      <c r="AD1055" s="127"/>
      <c r="AE1055" s="127"/>
      <c r="AF1055" s="127"/>
      <c r="AG1055" s="127"/>
      <c r="AH1055" s="124"/>
      <c r="AI1055" s="127"/>
      <c r="AJ1055" s="127"/>
      <c r="AK1055" s="126"/>
      <c r="AL1055" s="122"/>
      <c r="AM1055" s="122"/>
      <c r="AN1055" s="122"/>
      <c r="AO1055" s="122"/>
      <c r="AP1055" s="122"/>
      <c r="AQ1055" s="124"/>
    </row>
  </sheetData>
  <mergeCells count="9">
    <mergeCell ref="C2:G3"/>
    <mergeCell ref="A2:B3"/>
    <mergeCell ref="AL1:AQ1"/>
    <mergeCell ref="H2:P3"/>
    <mergeCell ref="Q2:V3"/>
    <mergeCell ref="W2:AA3"/>
    <mergeCell ref="AL2:AQ3"/>
    <mergeCell ref="AB2:AH3"/>
    <mergeCell ref="AI2:AK3"/>
  </mergeCells>
  <conditionalFormatting sqref="I2:P3 H3">
    <cfRule type="notContainsBlanks" dxfId="2" priority="3">
      <formula>LEN(TRIM(I2))&gt;0</formula>
    </cfRule>
  </conditionalFormatting>
  <conditionalFormatting sqref="W33">
    <cfRule type="notContainsBlanks" dxfId="1" priority="1">
      <formula>LEN(TRIM(W33))&gt;0</formula>
    </cfRule>
  </conditionalFormatting>
  <conditionalFormatting sqref="W73 W81:W83">
    <cfRule type="notContainsBlanks" dxfId="0" priority="2">
      <formula>LEN(TRIM(W73))&gt;0</formula>
    </cfRule>
  </conditionalFormatting>
  <dataValidations count="8">
    <dataValidation type="list" allowBlank="1" showErrorMessage="1" sqref="AI5:AI117" xr:uid="{00000000-0002-0000-0000-000000000000}">
      <formula1>"Private,Public and Private,Public"</formula1>
    </dataValidation>
    <dataValidation type="list" allowBlank="1" showErrorMessage="1" sqref="AP5:AP117" xr:uid="{00000000-0002-0000-0000-000001000000}">
      <formula1>"District,Circuit,Appeals,District &amp; Circuit,District, Appeals, Supreme,District &amp; Appeals,District &amp; Supreme,Supreme"</formula1>
    </dataValidation>
    <dataValidation type="list" allowBlank="1" showErrorMessage="1" sqref="F5:F117" xr:uid="{00000000-0002-0000-0000-000003000000}">
      <formula1>"Exploration,Development,Active,Delayed Indefinitely,Active -- Expansion Plan,Active -- No Expansion Plan"</formula1>
    </dataValidation>
    <dataValidation type="list" allowBlank="1" showErrorMessage="1" sqref="G5:G117" xr:uid="{00000000-0002-0000-0000-000004000000}">
      <formula1>"Yes,No"</formula1>
    </dataValidation>
    <dataValidation type="list" allowBlank="1" showErrorMessage="1" sqref="AC5:AC1055" xr:uid="{00000000-0002-0000-0000-000005000000}">
      <formula1>"DOD,DOD &amp; DOE,DOE,Import/Export Bank,DOE &amp; Import/Export,IRS,DOD &amp; Import/Export,Import/Export &amp; US Citizenship and Immigration Services,DOA"</formula1>
    </dataValidation>
    <dataValidation type="list" allowBlank="1" showErrorMessage="1" sqref="C5:C117" xr:uid="{00000000-0002-0000-0000-000008000000}">
      <formula1>"Direct Lithium Extraction,Evaporative,Recovery from mine waste,Surface,Underground,Undetermined,Surface and Underground"</formula1>
    </dataValidation>
    <dataValidation type="list" allowBlank="1" showErrorMessage="1" sqref="E5:E117" xr:uid="{00000000-0002-0000-0000-000009000000}">
      <formula1>"No-- New Development,Yes-- Abandoned,Yes-- Active"</formula1>
    </dataValidation>
    <dataValidation type="list" allowBlank="1" showErrorMessage="1" sqref="AN5:AN117" xr:uid="{00000000-0002-0000-0000-00000A000000}">
      <formula1>"Federal,State,Federal &amp; State"</formula1>
    </dataValidation>
  </dataValidations>
  <hyperlinks>
    <hyperlink ref="S5" r:id="rId1" xr:uid="{00000000-0004-0000-0000-000000000000}"/>
    <hyperlink ref="S6" r:id="rId2" xr:uid="{00000000-0004-0000-0000-000001000000}"/>
    <hyperlink ref="S7" r:id="rId3" xr:uid="{00000000-0004-0000-0000-000002000000}"/>
    <hyperlink ref="AQ7" r:id="rId4" xr:uid="{00000000-0004-0000-0000-000003000000}"/>
    <hyperlink ref="S8" r:id="rId5" xr:uid="{00000000-0004-0000-0000-000004000000}"/>
    <hyperlink ref="S9" r:id="rId6" xr:uid="{00000000-0004-0000-0000-000005000000}"/>
    <hyperlink ref="S10" r:id="rId7" xr:uid="{00000000-0004-0000-0000-000006000000}"/>
    <hyperlink ref="S11" r:id="rId8" xr:uid="{00000000-0004-0000-0000-000007000000}"/>
    <hyperlink ref="S12" r:id="rId9" xr:uid="{00000000-0004-0000-0000-000008000000}"/>
    <hyperlink ref="S13" r:id="rId10" xr:uid="{00000000-0004-0000-0000-000009000000}"/>
    <hyperlink ref="S14" r:id="rId11" xr:uid="{00000000-0004-0000-0000-00000A000000}"/>
    <hyperlink ref="S15" r:id="rId12" xr:uid="{00000000-0004-0000-0000-00000B000000}"/>
    <hyperlink ref="S16" r:id="rId13" xr:uid="{00000000-0004-0000-0000-00000C000000}"/>
    <hyperlink ref="S17" r:id="rId14" xr:uid="{00000000-0004-0000-0000-00000D000000}"/>
    <hyperlink ref="S18" r:id="rId15" xr:uid="{00000000-0004-0000-0000-00000E000000}"/>
    <hyperlink ref="S19" r:id="rId16" xr:uid="{00000000-0004-0000-0000-00000F000000}"/>
    <hyperlink ref="S20" r:id="rId17" xr:uid="{00000000-0004-0000-0000-000010000000}"/>
    <hyperlink ref="S21" r:id="rId18" xr:uid="{00000000-0004-0000-0000-000011000000}"/>
    <hyperlink ref="S22" r:id="rId19" xr:uid="{00000000-0004-0000-0000-000012000000}"/>
    <hyperlink ref="S23" r:id="rId20" xr:uid="{00000000-0004-0000-0000-000013000000}"/>
    <hyperlink ref="S24" r:id="rId21" xr:uid="{00000000-0004-0000-0000-000014000000}"/>
    <hyperlink ref="S25" r:id="rId22" xr:uid="{00000000-0004-0000-0000-000015000000}"/>
    <hyperlink ref="S26" r:id="rId23" xr:uid="{00000000-0004-0000-0000-000016000000}"/>
    <hyperlink ref="S27" r:id="rId24" xr:uid="{00000000-0004-0000-0000-000017000000}"/>
    <hyperlink ref="S28" r:id="rId25" xr:uid="{00000000-0004-0000-0000-000018000000}"/>
    <hyperlink ref="S29" r:id="rId26" xr:uid="{00000000-0004-0000-0000-000019000000}"/>
    <hyperlink ref="S30" r:id="rId27" xr:uid="{00000000-0004-0000-0000-00001A000000}"/>
    <hyperlink ref="S31" r:id="rId28" xr:uid="{00000000-0004-0000-0000-00001B000000}"/>
    <hyperlink ref="S32" r:id="rId29" xr:uid="{00000000-0004-0000-0000-00001C000000}"/>
    <hyperlink ref="S33" r:id="rId30" xr:uid="{00000000-0004-0000-0000-00001D000000}"/>
    <hyperlink ref="S34" r:id="rId31" xr:uid="{00000000-0004-0000-0000-00001E000000}"/>
    <hyperlink ref="AQ34" r:id="rId32" xr:uid="{00000000-0004-0000-0000-00001F000000}"/>
    <hyperlink ref="S35" r:id="rId33" xr:uid="{00000000-0004-0000-0000-000020000000}"/>
    <hyperlink ref="S36" r:id="rId34" xr:uid="{00000000-0004-0000-0000-000021000000}"/>
    <hyperlink ref="S37" r:id="rId35" xr:uid="{00000000-0004-0000-0000-000022000000}"/>
    <hyperlink ref="S38" r:id="rId36" xr:uid="{00000000-0004-0000-0000-000023000000}"/>
    <hyperlink ref="AQ38" r:id="rId37" xr:uid="{00000000-0004-0000-0000-000024000000}"/>
    <hyperlink ref="S39" r:id="rId38" xr:uid="{00000000-0004-0000-0000-000025000000}"/>
    <hyperlink ref="S40" r:id="rId39" xr:uid="{00000000-0004-0000-0000-000026000000}"/>
    <hyperlink ref="S41" r:id="rId40" xr:uid="{00000000-0004-0000-0000-000027000000}"/>
    <hyperlink ref="S42" r:id="rId41" xr:uid="{00000000-0004-0000-0000-000028000000}"/>
    <hyperlink ref="AQ42" r:id="rId42" xr:uid="{00000000-0004-0000-0000-000029000000}"/>
    <hyperlink ref="S43" r:id="rId43" xr:uid="{00000000-0004-0000-0000-00002A000000}"/>
    <hyperlink ref="S44" r:id="rId44" xr:uid="{00000000-0004-0000-0000-00002B000000}"/>
    <hyperlink ref="S45" r:id="rId45" xr:uid="{00000000-0004-0000-0000-00002C000000}"/>
    <hyperlink ref="S46" r:id="rId46" xr:uid="{00000000-0004-0000-0000-00002D000000}"/>
    <hyperlink ref="S48" r:id="rId47" xr:uid="{00000000-0004-0000-0000-00002E000000}"/>
    <hyperlink ref="S49" r:id="rId48" xr:uid="{00000000-0004-0000-0000-00002F000000}"/>
    <hyperlink ref="AQ49" r:id="rId49" xr:uid="{00000000-0004-0000-0000-000030000000}"/>
    <hyperlink ref="S50" r:id="rId50" xr:uid="{00000000-0004-0000-0000-000031000000}"/>
    <hyperlink ref="S51" r:id="rId51" xr:uid="{00000000-0004-0000-0000-000032000000}"/>
    <hyperlink ref="S52" r:id="rId52" xr:uid="{00000000-0004-0000-0000-000033000000}"/>
    <hyperlink ref="S53" r:id="rId53" xr:uid="{00000000-0004-0000-0000-000034000000}"/>
    <hyperlink ref="AQ53" r:id="rId54" xr:uid="{00000000-0004-0000-0000-000035000000}"/>
    <hyperlink ref="S54" r:id="rId55" xr:uid="{00000000-0004-0000-0000-000036000000}"/>
    <hyperlink ref="S55" r:id="rId56" xr:uid="{00000000-0004-0000-0000-000037000000}"/>
    <hyperlink ref="S56" r:id="rId57" xr:uid="{00000000-0004-0000-0000-000038000000}"/>
    <hyperlink ref="S57" r:id="rId58" xr:uid="{00000000-0004-0000-0000-000039000000}"/>
    <hyperlink ref="AQ57" r:id="rId59" xr:uid="{00000000-0004-0000-0000-00003A000000}"/>
    <hyperlink ref="S58" r:id="rId60" xr:uid="{00000000-0004-0000-0000-00003B000000}"/>
    <hyperlink ref="S59" r:id="rId61" xr:uid="{00000000-0004-0000-0000-00003C000000}"/>
    <hyperlink ref="AQ59" r:id="rId62" xr:uid="{00000000-0004-0000-0000-00003D000000}"/>
    <hyperlink ref="S60" r:id="rId63" xr:uid="{00000000-0004-0000-0000-00003E000000}"/>
    <hyperlink ref="AQ60" r:id="rId64" xr:uid="{00000000-0004-0000-0000-00003F000000}"/>
    <hyperlink ref="S61" r:id="rId65" xr:uid="{00000000-0004-0000-0000-000040000000}"/>
    <hyperlink ref="AQ61" r:id="rId66" xr:uid="{00000000-0004-0000-0000-000041000000}"/>
    <hyperlink ref="S62" r:id="rId67" xr:uid="{00000000-0004-0000-0000-000042000000}"/>
    <hyperlink ref="S63" r:id="rId68" location="close" xr:uid="{00000000-0004-0000-0000-000043000000}"/>
    <hyperlink ref="S64" r:id="rId69" xr:uid="{00000000-0004-0000-0000-000044000000}"/>
    <hyperlink ref="S65" r:id="rId70" xr:uid="{00000000-0004-0000-0000-000045000000}"/>
    <hyperlink ref="S66" r:id="rId71" xr:uid="{00000000-0004-0000-0000-000046000000}"/>
    <hyperlink ref="S67" r:id="rId72" xr:uid="{00000000-0004-0000-0000-000047000000}"/>
    <hyperlink ref="S68" r:id="rId73" xr:uid="{00000000-0004-0000-0000-000048000000}"/>
    <hyperlink ref="S69" r:id="rId74" xr:uid="{00000000-0004-0000-0000-000049000000}"/>
    <hyperlink ref="S70" r:id="rId75" xr:uid="{00000000-0004-0000-0000-00004A000000}"/>
    <hyperlink ref="S71" r:id="rId76" xr:uid="{00000000-0004-0000-0000-00004B000000}"/>
    <hyperlink ref="S72" r:id="rId77" xr:uid="{00000000-0004-0000-0000-00004C000000}"/>
    <hyperlink ref="S74" r:id="rId78" xr:uid="{00000000-0004-0000-0000-00004D000000}"/>
    <hyperlink ref="AQ74" r:id="rId79" xr:uid="{00000000-0004-0000-0000-00004E000000}"/>
    <hyperlink ref="S75" r:id="rId80" xr:uid="{00000000-0004-0000-0000-00004F000000}"/>
    <hyperlink ref="AQ75" r:id="rId81" xr:uid="{00000000-0004-0000-0000-000050000000}"/>
    <hyperlink ref="S76" r:id="rId82" xr:uid="{00000000-0004-0000-0000-000051000000}"/>
    <hyperlink ref="AQ76" r:id="rId83" xr:uid="{00000000-0004-0000-0000-000052000000}"/>
    <hyperlink ref="S77" r:id="rId84" xr:uid="{00000000-0004-0000-0000-000053000000}"/>
    <hyperlink ref="S78" r:id="rId85" xr:uid="{00000000-0004-0000-0000-000054000000}"/>
    <hyperlink ref="S79" r:id="rId86" xr:uid="{00000000-0004-0000-0000-000055000000}"/>
    <hyperlink ref="S80" r:id="rId87" location="treport" xr:uid="{00000000-0004-0000-0000-000056000000}"/>
    <hyperlink ref="AQ80" r:id="rId88" xr:uid="{00000000-0004-0000-0000-000057000000}"/>
    <hyperlink ref="S82" r:id="rId89" xr:uid="{00000000-0004-0000-0000-000058000000}"/>
    <hyperlink ref="AQ83" r:id="rId90" xr:uid="{00000000-0004-0000-0000-000059000000}"/>
    <hyperlink ref="S84" r:id="rId91" xr:uid="{00000000-0004-0000-0000-00005A000000}"/>
    <hyperlink ref="S86" r:id="rId92" xr:uid="{00000000-0004-0000-0000-00005B000000}"/>
    <hyperlink ref="S87" r:id="rId93" xr:uid="{00000000-0004-0000-0000-00005C000000}"/>
    <hyperlink ref="S88" r:id="rId94" xr:uid="{00000000-0004-0000-0000-00005D000000}"/>
    <hyperlink ref="S89" r:id="rId95" xr:uid="{00000000-0004-0000-0000-00005E000000}"/>
    <hyperlink ref="S90" r:id="rId96" xr:uid="{00000000-0004-0000-0000-00005F000000}"/>
    <hyperlink ref="S91" r:id="rId97" xr:uid="{00000000-0004-0000-0000-000060000000}"/>
    <hyperlink ref="S92" r:id="rId98" xr:uid="{00000000-0004-0000-0000-000061000000}"/>
    <hyperlink ref="S93" r:id="rId99" xr:uid="{00000000-0004-0000-0000-000062000000}"/>
    <hyperlink ref="S94" r:id="rId100" xr:uid="{00000000-0004-0000-0000-000063000000}"/>
    <hyperlink ref="S95" r:id="rId101" xr:uid="{00000000-0004-0000-0000-000064000000}"/>
    <hyperlink ref="S96" r:id="rId102" xr:uid="{00000000-0004-0000-0000-000065000000}"/>
    <hyperlink ref="S97" r:id="rId103" xr:uid="{00000000-0004-0000-0000-000066000000}"/>
    <hyperlink ref="S98" r:id="rId104" xr:uid="{00000000-0004-0000-0000-000067000000}"/>
    <hyperlink ref="S99" r:id="rId105" xr:uid="{00000000-0004-0000-0000-000068000000}"/>
    <hyperlink ref="S100" r:id="rId106" xr:uid="{00000000-0004-0000-0000-000069000000}"/>
    <hyperlink ref="S101" r:id="rId107" xr:uid="{00000000-0004-0000-0000-00006A000000}"/>
    <hyperlink ref="S102" r:id="rId108" xr:uid="{00000000-0004-0000-0000-00006B000000}"/>
    <hyperlink ref="S104" r:id="rId109" xr:uid="{00000000-0004-0000-0000-00006C000000}"/>
    <hyperlink ref="S105" r:id="rId110" xr:uid="{00000000-0004-0000-0000-00006D000000}"/>
    <hyperlink ref="AQ105" r:id="rId111" xr:uid="{00000000-0004-0000-0000-00006E000000}"/>
    <hyperlink ref="S106" r:id="rId112" xr:uid="{00000000-0004-0000-0000-00006F000000}"/>
    <hyperlink ref="S107" r:id="rId113" xr:uid="{00000000-0004-0000-0000-000070000000}"/>
    <hyperlink ref="S108" r:id="rId114" xr:uid="{00000000-0004-0000-0000-000071000000}"/>
    <hyperlink ref="S109" r:id="rId115" xr:uid="{00000000-0004-0000-0000-000072000000}"/>
    <hyperlink ref="AQ109" r:id="rId116" xr:uid="{00000000-0004-0000-0000-000073000000}"/>
    <hyperlink ref="S110" r:id="rId117" xr:uid="{00000000-0004-0000-0000-000074000000}"/>
    <hyperlink ref="S111" r:id="rId118" xr:uid="{00000000-0004-0000-0000-000075000000}"/>
    <hyperlink ref="S112" r:id="rId119" xr:uid="{00000000-0004-0000-0000-000076000000}"/>
    <hyperlink ref="S113" r:id="rId120" xr:uid="{00000000-0004-0000-0000-000077000000}"/>
    <hyperlink ref="S114" r:id="rId121" xr:uid="{00000000-0004-0000-0000-000078000000}"/>
    <hyperlink ref="S115" r:id="rId122" xr:uid="{00000000-0004-0000-0000-000079000000}"/>
    <hyperlink ref="S116" r:id="rId123" xr:uid="{00000000-0004-0000-0000-00007A000000}"/>
    <hyperlink ref="S117" r:id="rId124" xr:uid="{00000000-0004-0000-0000-00007B000000}"/>
    <hyperlink ref="AQ117" r:id="rId125" xr:uid="{00000000-0004-0000-0000-00007C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sheetPr>
  <dimension ref="A1:B116"/>
  <sheetViews>
    <sheetView topLeftCell="A83" workbookViewId="0">
      <selection activeCell="B47" sqref="B47"/>
    </sheetView>
  </sheetViews>
  <sheetFormatPr baseColWidth="10" defaultColWidth="14.5" defaultRowHeight="15" customHeight="1"/>
  <cols>
    <col min="1" max="1" width="37.5" customWidth="1"/>
    <col min="2" max="2" width="147.6640625" customWidth="1"/>
  </cols>
  <sheetData>
    <row r="1" spans="1:2">
      <c r="A1" s="128"/>
      <c r="B1" s="129"/>
    </row>
    <row r="2" spans="1:2">
      <c r="A2" s="123"/>
      <c r="B2" s="123"/>
    </row>
    <row r="3" spans="1:2">
      <c r="A3" s="130" t="s">
        <v>762</v>
      </c>
      <c r="B3" s="131" t="s">
        <v>763</v>
      </c>
    </row>
    <row r="4" spans="1:2" ht="160">
      <c r="A4" s="132" t="s">
        <v>342</v>
      </c>
      <c r="B4" s="151" t="s">
        <v>893</v>
      </c>
    </row>
    <row r="5" spans="1:2" ht="240">
      <c r="A5" s="134" t="s">
        <v>52</v>
      </c>
      <c r="B5" s="135" t="s">
        <v>764</v>
      </c>
    </row>
    <row r="6" spans="1:2" ht="409.6">
      <c r="A6" s="132" t="s">
        <v>352</v>
      </c>
      <c r="B6" s="151" t="s">
        <v>829</v>
      </c>
    </row>
    <row r="7" spans="1:2" ht="128">
      <c r="A7" s="134" t="s">
        <v>360</v>
      </c>
      <c r="B7" s="150" t="s">
        <v>765</v>
      </c>
    </row>
    <row r="8" spans="1:2" ht="176">
      <c r="A8" s="132" t="s">
        <v>724</v>
      </c>
      <c r="B8" s="133" t="s">
        <v>766</v>
      </c>
    </row>
    <row r="9" spans="1:2" ht="176">
      <c r="A9" s="134" t="s">
        <v>731</v>
      </c>
      <c r="B9" s="150" t="s">
        <v>818</v>
      </c>
    </row>
    <row r="10" spans="1:2" ht="48">
      <c r="A10" s="132" t="s">
        <v>767</v>
      </c>
      <c r="B10" s="133" t="s">
        <v>768</v>
      </c>
    </row>
    <row r="11" spans="1:2" ht="160">
      <c r="A11" s="134" t="s">
        <v>769</v>
      </c>
      <c r="B11" s="150" t="s">
        <v>882</v>
      </c>
    </row>
    <row r="12" spans="1:2" ht="288">
      <c r="A12" s="132" t="s">
        <v>770</v>
      </c>
      <c r="B12" s="151" t="s">
        <v>830</v>
      </c>
    </row>
    <row r="13" spans="1:2" ht="165">
      <c r="A13" s="136" t="s">
        <v>365</v>
      </c>
      <c r="B13" s="152" t="s">
        <v>869</v>
      </c>
    </row>
    <row r="14" spans="1:2" ht="135">
      <c r="A14" s="132" t="s">
        <v>372</v>
      </c>
      <c r="B14" s="152" t="s">
        <v>831</v>
      </c>
    </row>
    <row r="15" spans="1:2" ht="64">
      <c r="A15" s="134" t="s">
        <v>92</v>
      </c>
      <c r="B15" s="150" t="s">
        <v>870</v>
      </c>
    </row>
    <row r="16" spans="1:2" ht="272">
      <c r="A16" s="132" t="s">
        <v>102</v>
      </c>
      <c r="B16" s="151" t="s">
        <v>832</v>
      </c>
    </row>
    <row r="17" spans="1:2" ht="350">
      <c r="A17" s="134" t="s">
        <v>771</v>
      </c>
      <c r="B17" s="150" t="s">
        <v>871</v>
      </c>
    </row>
    <row r="18" spans="1:2" ht="96">
      <c r="A18" s="132" t="s">
        <v>116</v>
      </c>
      <c r="B18" s="151" t="s">
        <v>833</v>
      </c>
    </row>
    <row r="19" spans="1:2" ht="80">
      <c r="A19" s="134" t="s">
        <v>577</v>
      </c>
      <c r="B19" s="135" t="s">
        <v>772</v>
      </c>
    </row>
    <row r="20" spans="1:2" ht="96">
      <c r="A20" s="132" t="s">
        <v>121</v>
      </c>
      <c r="B20" s="133" t="s">
        <v>773</v>
      </c>
    </row>
    <row r="21" spans="1:2" ht="48">
      <c r="A21" s="134" t="s">
        <v>584</v>
      </c>
      <c r="B21" s="135" t="s">
        <v>774</v>
      </c>
    </row>
    <row r="22" spans="1:2" ht="160">
      <c r="A22" s="132" t="s">
        <v>124</v>
      </c>
      <c r="B22" s="133" t="s">
        <v>775</v>
      </c>
    </row>
    <row r="23" spans="1:2" ht="64">
      <c r="A23" s="134" t="s">
        <v>133</v>
      </c>
      <c r="B23" s="150" t="s">
        <v>834</v>
      </c>
    </row>
    <row r="24" spans="1:2" ht="96">
      <c r="A24" s="132" t="s">
        <v>125</v>
      </c>
      <c r="B24" s="133" t="s">
        <v>776</v>
      </c>
    </row>
    <row r="25" spans="1:2" ht="128">
      <c r="A25" s="134" t="s">
        <v>624</v>
      </c>
      <c r="B25" s="153" t="s">
        <v>883</v>
      </c>
    </row>
    <row r="26" spans="1:2" ht="160">
      <c r="A26" s="132" t="s">
        <v>383</v>
      </c>
      <c r="B26" s="133" t="s">
        <v>777</v>
      </c>
    </row>
    <row r="27" spans="1:2" ht="335">
      <c r="A27" s="137" t="s">
        <v>150</v>
      </c>
      <c r="B27" s="150" t="s">
        <v>835</v>
      </c>
    </row>
    <row r="28" spans="1:2" ht="192">
      <c r="A28" s="132" t="s">
        <v>390</v>
      </c>
      <c r="B28" s="151" t="s">
        <v>884</v>
      </c>
    </row>
    <row r="29" spans="1:2" ht="144">
      <c r="A29" s="134" t="s">
        <v>162</v>
      </c>
      <c r="B29" s="135" t="s">
        <v>778</v>
      </c>
    </row>
    <row r="30" spans="1:2" ht="304">
      <c r="A30" s="132" t="s">
        <v>779</v>
      </c>
      <c r="B30" s="133" t="s">
        <v>780</v>
      </c>
    </row>
    <row r="31" spans="1:2" ht="64">
      <c r="A31" s="134" t="s">
        <v>587</v>
      </c>
      <c r="B31" s="150" t="s">
        <v>836</v>
      </c>
    </row>
    <row r="32" spans="1:2" ht="96">
      <c r="A32" s="132" t="s">
        <v>169</v>
      </c>
      <c r="B32" s="151" t="s">
        <v>838</v>
      </c>
    </row>
    <row r="33" spans="1:2" ht="96">
      <c r="A33" s="134" t="s">
        <v>174</v>
      </c>
      <c r="B33" s="150" t="s">
        <v>837</v>
      </c>
    </row>
    <row r="34" spans="1:2" ht="96">
      <c r="A34" s="132" t="s">
        <v>732</v>
      </c>
      <c r="B34" s="151" t="s">
        <v>819</v>
      </c>
    </row>
    <row r="35" spans="1:2" ht="160">
      <c r="A35" s="134" t="s">
        <v>398</v>
      </c>
      <c r="B35" s="150" t="s">
        <v>839</v>
      </c>
    </row>
    <row r="36" spans="1:2" ht="288">
      <c r="A36" s="132" t="s">
        <v>402</v>
      </c>
      <c r="B36" s="151" t="s">
        <v>872</v>
      </c>
    </row>
    <row r="37" spans="1:2" ht="176">
      <c r="A37" s="134" t="s">
        <v>412</v>
      </c>
      <c r="B37" s="154" t="s">
        <v>840</v>
      </c>
    </row>
    <row r="38" spans="1:2" ht="208">
      <c r="A38" s="132" t="s">
        <v>631</v>
      </c>
      <c r="B38" s="133" t="s">
        <v>781</v>
      </c>
    </row>
    <row r="39" spans="1:2" ht="409.6">
      <c r="A39" s="134" t="s">
        <v>430</v>
      </c>
      <c r="B39" s="150" t="s">
        <v>841</v>
      </c>
    </row>
    <row r="40" spans="1:2" ht="96">
      <c r="A40" s="132" t="s">
        <v>640</v>
      </c>
      <c r="B40" s="138" t="s">
        <v>782</v>
      </c>
    </row>
    <row r="41" spans="1:2" ht="203">
      <c r="A41" s="134" t="s">
        <v>679</v>
      </c>
      <c r="B41" s="150" t="s">
        <v>842</v>
      </c>
    </row>
    <row r="42" spans="1:2" ht="80">
      <c r="A42" s="132" t="s">
        <v>644</v>
      </c>
      <c r="B42" s="133" t="s">
        <v>783</v>
      </c>
    </row>
    <row r="43" spans="1:2" ht="112">
      <c r="A43" s="134" t="s">
        <v>784</v>
      </c>
      <c r="B43" s="135" t="s">
        <v>785</v>
      </c>
    </row>
    <row r="44" spans="1:2" ht="80">
      <c r="A44" s="132" t="s">
        <v>748</v>
      </c>
      <c r="B44" s="151" t="s">
        <v>843</v>
      </c>
    </row>
    <row r="45" spans="1:2" ht="64">
      <c r="A45" s="134" t="s">
        <v>180</v>
      </c>
      <c r="B45" s="135" t="s">
        <v>786</v>
      </c>
    </row>
    <row r="46" spans="1:2" ht="144">
      <c r="A46" s="132" t="s">
        <v>421</v>
      </c>
      <c r="B46" s="151" t="s">
        <v>844</v>
      </c>
    </row>
    <row r="47" spans="1:2" ht="192">
      <c r="A47" s="134" t="s">
        <v>787</v>
      </c>
      <c r="B47" s="150" t="s">
        <v>894</v>
      </c>
    </row>
    <row r="48" spans="1:2" ht="96">
      <c r="A48" s="132" t="s">
        <v>594</v>
      </c>
      <c r="B48" s="133" t="s">
        <v>788</v>
      </c>
    </row>
    <row r="49" spans="1:2" ht="208">
      <c r="A49" s="134" t="s">
        <v>741</v>
      </c>
      <c r="B49" s="150" t="s">
        <v>845</v>
      </c>
    </row>
    <row r="50" spans="1:2" ht="192">
      <c r="A50" s="132" t="s">
        <v>194</v>
      </c>
      <c r="B50" s="133" t="s">
        <v>789</v>
      </c>
    </row>
    <row r="51" spans="1:2" ht="96">
      <c r="A51" s="134" t="s">
        <v>790</v>
      </c>
      <c r="B51" s="153" t="s">
        <v>846</v>
      </c>
    </row>
    <row r="52" spans="1:2" ht="256">
      <c r="A52" s="132" t="s">
        <v>754</v>
      </c>
      <c r="B52" s="151" t="s">
        <v>873</v>
      </c>
    </row>
    <row r="53" spans="1:2" ht="48">
      <c r="A53" s="132" t="s">
        <v>596</v>
      </c>
      <c r="B53" s="151" t="s">
        <v>847</v>
      </c>
    </row>
    <row r="54" spans="1:2" ht="195">
      <c r="A54" s="139" t="s">
        <v>602</v>
      </c>
      <c r="B54" s="140" t="s">
        <v>791</v>
      </c>
    </row>
    <row r="55" spans="1:2" ht="240">
      <c r="A55" s="134" t="s">
        <v>605</v>
      </c>
      <c r="B55" s="150" t="s">
        <v>848</v>
      </c>
    </row>
    <row r="56" spans="1:2" ht="350">
      <c r="A56" s="141" t="s">
        <v>792</v>
      </c>
      <c r="B56" s="151" t="s">
        <v>874</v>
      </c>
    </row>
    <row r="57" spans="1:2" ht="96">
      <c r="A57" s="134" t="s">
        <v>652</v>
      </c>
      <c r="B57" s="150" t="s">
        <v>889</v>
      </c>
    </row>
    <row r="58" spans="1:2" ht="192">
      <c r="A58" s="132" t="s">
        <v>214</v>
      </c>
      <c r="B58" s="151" t="s">
        <v>849</v>
      </c>
    </row>
    <row r="59" spans="1:2" ht="335">
      <c r="A59" s="134" t="s">
        <v>438</v>
      </c>
      <c r="B59" s="150" t="s">
        <v>875</v>
      </c>
    </row>
    <row r="60" spans="1:2" ht="144">
      <c r="A60" s="132" t="s">
        <v>220</v>
      </c>
      <c r="B60" s="151" t="s">
        <v>850</v>
      </c>
    </row>
    <row r="61" spans="1:2" ht="409.6">
      <c r="A61" s="134" t="s">
        <v>446</v>
      </c>
      <c r="B61" s="150" t="s">
        <v>885</v>
      </c>
    </row>
    <row r="62" spans="1:2" ht="112">
      <c r="A62" s="132" t="s">
        <v>793</v>
      </c>
      <c r="B62" s="133" t="s">
        <v>794</v>
      </c>
    </row>
    <row r="63" spans="1:2" ht="176">
      <c r="A63" s="134" t="s">
        <v>455</v>
      </c>
      <c r="B63" s="135" t="s">
        <v>795</v>
      </c>
    </row>
    <row r="64" spans="1:2" ht="192">
      <c r="A64" s="132" t="s">
        <v>796</v>
      </c>
      <c r="B64" s="133" t="s">
        <v>797</v>
      </c>
    </row>
    <row r="65" spans="1:2" ht="256">
      <c r="A65" s="134" t="s">
        <v>459</v>
      </c>
      <c r="B65" s="135" t="s">
        <v>798</v>
      </c>
    </row>
    <row r="66" spans="1:2" ht="160">
      <c r="A66" s="132" t="s">
        <v>235</v>
      </c>
      <c r="B66" s="151" t="s">
        <v>851</v>
      </c>
    </row>
    <row r="67" spans="1:2" ht="80">
      <c r="A67" s="134" t="s">
        <v>240</v>
      </c>
      <c r="B67" s="135" t="s">
        <v>799</v>
      </c>
    </row>
    <row r="68" spans="1:2" ht="160">
      <c r="A68" s="132" t="s">
        <v>687</v>
      </c>
      <c r="B68" s="151" t="s">
        <v>886</v>
      </c>
    </row>
    <row r="69" spans="1:2" ht="96">
      <c r="A69" s="134" t="s">
        <v>463</v>
      </c>
      <c r="B69" s="135" t="s">
        <v>800</v>
      </c>
    </row>
    <row r="70" spans="1:2" ht="240">
      <c r="A70" s="132" t="s">
        <v>695</v>
      </c>
      <c r="B70" s="133" t="s">
        <v>801</v>
      </c>
    </row>
    <row r="71" spans="1:2" ht="192">
      <c r="A71" s="134" t="s">
        <v>470</v>
      </c>
      <c r="B71" s="150" t="s">
        <v>852</v>
      </c>
    </row>
    <row r="72" spans="1:2" ht="304">
      <c r="A72" s="132" t="s">
        <v>802</v>
      </c>
      <c r="B72" s="151" t="s">
        <v>876</v>
      </c>
    </row>
    <row r="73" spans="1:2" ht="176">
      <c r="A73" s="134" t="s">
        <v>483</v>
      </c>
      <c r="B73" s="150" t="s">
        <v>853</v>
      </c>
    </row>
    <row r="74" spans="1:2" ht="224">
      <c r="A74" s="132" t="s">
        <v>657</v>
      </c>
      <c r="B74" s="151" t="s">
        <v>890</v>
      </c>
    </row>
    <row r="75" spans="1:2" ht="160">
      <c r="A75" s="137" t="s">
        <v>701</v>
      </c>
      <c r="B75" s="135" t="s">
        <v>803</v>
      </c>
    </row>
    <row r="76" spans="1:2" ht="112">
      <c r="A76" s="141" t="s">
        <v>243</v>
      </c>
      <c r="B76" s="133" t="s">
        <v>804</v>
      </c>
    </row>
    <row r="77" spans="1:2" ht="256">
      <c r="A77" s="137" t="s">
        <v>709</v>
      </c>
      <c r="B77" s="150" t="s">
        <v>854</v>
      </c>
    </row>
    <row r="78" spans="1:2" ht="160">
      <c r="A78" s="141" t="s">
        <v>489</v>
      </c>
      <c r="B78" s="133" t="s">
        <v>805</v>
      </c>
    </row>
    <row r="79" spans="1:2" ht="96">
      <c r="A79" s="137" t="s">
        <v>245</v>
      </c>
      <c r="B79" s="150" t="s">
        <v>855</v>
      </c>
    </row>
    <row r="80" spans="1:2" ht="144">
      <c r="A80" s="132" t="s">
        <v>806</v>
      </c>
      <c r="B80" s="133" t="s">
        <v>807</v>
      </c>
    </row>
    <row r="81" spans="1:2" ht="288">
      <c r="A81" s="134" t="s">
        <v>250</v>
      </c>
      <c r="B81" s="150" t="s">
        <v>856</v>
      </c>
    </row>
    <row r="82" spans="1:2" ht="144">
      <c r="A82" s="132" t="s">
        <v>808</v>
      </c>
      <c r="B82" s="151" t="s">
        <v>887</v>
      </c>
    </row>
    <row r="83" spans="1:2" ht="409.6">
      <c r="A83" s="134" t="s">
        <v>493</v>
      </c>
      <c r="B83" s="150" t="s">
        <v>857</v>
      </c>
    </row>
    <row r="84" spans="1:2" ht="128">
      <c r="A84" s="132" t="s">
        <v>499</v>
      </c>
      <c r="B84" s="151" t="s">
        <v>877</v>
      </c>
    </row>
    <row r="85" spans="1:2" ht="112">
      <c r="A85" s="134" t="s">
        <v>507</v>
      </c>
      <c r="B85" s="150" t="s">
        <v>858</v>
      </c>
    </row>
    <row r="86" spans="1:2" ht="80">
      <c r="A86" s="132" t="s">
        <v>510</v>
      </c>
      <c r="B86" s="133" t="s">
        <v>809</v>
      </c>
    </row>
    <row r="87" spans="1:2" ht="160">
      <c r="A87" s="134" t="s">
        <v>516</v>
      </c>
      <c r="B87" s="150" t="s">
        <v>859</v>
      </c>
    </row>
    <row r="88" spans="1:2" ht="320">
      <c r="A88" s="132" t="s">
        <v>522</v>
      </c>
      <c r="B88" s="151" t="s">
        <v>878</v>
      </c>
    </row>
    <row r="89" spans="1:2" ht="395">
      <c r="A89" s="134" t="s">
        <v>810</v>
      </c>
      <c r="B89" s="150" t="s">
        <v>860</v>
      </c>
    </row>
    <row r="90" spans="1:2" ht="144">
      <c r="A90" s="132" t="s">
        <v>526</v>
      </c>
      <c r="B90" s="151" t="s">
        <v>879</v>
      </c>
    </row>
    <row r="91" spans="1:2" ht="160">
      <c r="A91" s="134" t="s">
        <v>811</v>
      </c>
      <c r="B91" s="150" t="s">
        <v>861</v>
      </c>
    </row>
    <row r="92" spans="1:2" ht="240">
      <c r="A92" s="132" t="s">
        <v>533</v>
      </c>
      <c r="B92" s="151" t="s">
        <v>862</v>
      </c>
    </row>
    <row r="93" spans="1:2" ht="208">
      <c r="A93" s="137" t="s">
        <v>268</v>
      </c>
      <c r="B93" s="150" t="s">
        <v>821</v>
      </c>
    </row>
    <row r="94" spans="1:2" ht="256">
      <c r="A94" s="141" t="s">
        <v>276</v>
      </c>
      <c r="B94" s="151" t="s">
        <v>863</v>
      </c>
    </row>
    <row r="95" spans="1:2" ht="208">
      <c r="A95" s="137" t="s">
        <v>281</v>
      </c>
      <c r="B95" s="150" t="s">
        <v>822</v>
      </c>
    </row>
    <row r="96" spans="1:2" ht="48">
      <c r="A96" s="132" t="s">
        <v>713</v>
      </c>
      <c r="B96" s="151" t="s">
        <v>823</v>
      </c>
    </row>
    <row r="97" spans="1:2" ht="176">
      <c r="A97" s="134" t="s">
        <v>672</v>
      </c>
      <c r="B97" s="150" t="s">
        <v>864</v>
      </c>
    </row>
    <row r="98" spans="1:2" ht="144">
      <c r="A98" s="132" t="s">
        <v>535</v>
      </c>
      <c r="B98" s="151" t="s">
        <v>880</v>
      </c>
    </row>
    <row r="99" spans="1:2" ht="224">
      <c r="A99" s="134" t="s">
        <v>541</v>
      </c>
      <c r="B99" s="150" t="s">
        <v>888</v>
      </c>
    </row>
    <row r="100" spans="1:2" ht="256">
      <c r="A100" s="132" t="s">
        <v>60</v>
      </c>
      <c r="B100" s="151" t="s">
        <v>881</v>
      </c>
    </row>
    <row r="101" spans="1:2" ht="272">
      <c r="A101" s="134" t="s">
        <v>290</v>
      </c>
      <c r="B101" s="150" t="s">
        <v>820</v>
      </c>
    </row>
    <row r="102" spans="1:2" ht="224">
      <c r="A102" s="141" t="s">
        <v>299</v>
      </c>
      <c r="B102" s="151" t="s">
        <v>824</v>
      </c>
    </row>
    <row r="103" spans="1:2" ht="240">
      <c r="A103" s="134" t="s">
        <v>543</v>
      </c>
      <c r="B103" s="150" t="s">
        <v>865</v>
      </c>
    </row>
    <row r="104" spans="1:2" ht="256">
      <c r="A104" s="132" t="s">
        <v>812</v>
      </c>
      <c r="B104" s="151" t="s">
        <v>825</v>
      </c>
    </row>
    <row r="105" spans="1:2" ht="208">
      <c r="A105" s="134" t="s">
        <v>304</v>
      </c>
      <c r="B105" s="150" t="s">
        <v>866</v>
      </c>
    </row>
    <row r="106" spans="1:2" ht="48">
      <c r="A106" s="132" t="s">
        <v>316</v>
      </c>
      <c r="B106" s="155" t="s">
        <v>891</v>
      </c>
    </row>
    <row r="107" spans="1:2" ht="32">
      <c r="A107" s="134" t="s">
        <v>547</v>
      </c>
      <c r="B107" s="135" t="s">
        <v>813</v>
      </c>
    </row>
    <row r="108" spans="1:2" ht="128">
      <c r="A108" s="132" t="s">
        <v>321</v>
      </c>
      <c r="B108" s="151" t="s">
        <v>892</v>
      </c>
    </row>
    <row r="109" spans="1:2" ht="64">
      <c r="A109" s="134" t="s">
        <v>552</v>
      </c>
      <c r="B109" s="135" t="s">
        <v>814</v>
      </c>
    </row>
    <row r="110" spans="1:2" ht="224">
      <c r="A110" s="132" t="s">
        <v>815</v>
      </c>
      <c r="B110" s="151" t="s">
        <v>826</v>
      </c>
    </row>
    <row r="111" spans="1:2" ht="240">
      <c r="A111" s="134" t="s">
        <v>326</v>
      </c>
      <c r="B111" s="150" t="s">
        <v>827</v>
      </c>
    </row>
    <row r="112" spans="1:2" ht="96">
      <c r="A112" s="132" t="s">
        <v>567</v>
      </c>
      <c r="B112" s="151" t="s">
        <v>867</v>
      </c>
    </row>
    <row r="113" spans="1:2" ht="160">
      <c r="A113" s="134" t="s">
        <v>331</v>
      </c>
      <c r="B113" s="150" t="s">
        <v>828</v>
      </c>
    </row>
    <row r="114" spans="1:2" ht="128">
      <c r="A114" s="132" t="s">
        <v>334</v>
      </c>
      <c r="B114" s="151" t="s">
        <v>868</v>
      </c>
    </row>
    <row r="115" spans="1:2" ht="272">
      <c r="A115" s="134" t="s">
        <v>572</v>
      </c>
      <c r="B115" s="135" t="s">
        <v>816</v>
      </c>
    </row>
    <row r="116" spans="1:2" ht="240">
      <c r="A116" s="142" t="s">
        <v>338</v>
      </c>
      <c r="B116" s="143" t="s">
        <v>817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Researched Mining Sites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dc:creator>
  <cp:lastModifiedBy>Thorat, Chetana Vidyasagar</cp:lastModifiedBy>
  <dcterms:created xsi:type="dcterms:W3CDTF">2023-01-25T00:55:28Z</dcterms:created>
  <dcterms:modified xsi:type="dcterms:W3CDTF">2025-06-05T20:28:44Z</dcterms:modified>
</cp:coreProperties>
</file>